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1c2032ba2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天计划" sheetId="1" r:id="R60a89d1e7f4a40d5"/>
    <x:sheet xmlns:r="http://schemas.openxmlformats.org/officeDocument/2006/relationships" name="错题复做" sheetId="2" r:id="R64a9427ba76f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"/>
    <x:numFmt numFmtId="202" formatCode="0%"/>
    <x:numFmt numFmtId="203" formatCode="mm/dd"/>
    <x:numFmt numFmtId="204" formatCode="0"/>
  </x:numFmts>
  <x:fonts count="6">
    <x:font>
      <x:sz val="11"/>
      <x:name val="Carlito"/>
    </x:font>
    <x:font>
      <x:sz val="10"/>
      <x:color rgb="FF202A35"/>
      <x:name val="Microsoft YaHei"/>
    </x:font>
    <x:font>
      <x:b/>
      <x:sz val="16"/>
      <x:color rgb="FF202A35"/>
      <x:name val="Microsoft YaHei"/>
    </x:font>
    <x:font>
      <x:sz val="10"/>
      <x:color rgb="FF526274"/>
      <x:name val="Microsoft YaHei"/>
    </x:font>
    <x:font>
      <x:b/>
      <x:sz val="10"/>
      <x:color rgb="FFFFFFFF"/>
      <x:name val="Microsoft YaHei"/>
    </x:font>
    <x:font>
      <x:b/>
      <x:sz val="12"/>
      <x:color rgb="FF202A35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FFF1C7"/>
      </x:patternFill>
    </x:fill>
    <x:fill>
      <x:patternFill patternType="solid">
        <x:fgColor rgb="FFFFF7E2"/>
      </x:patternFill>
    </x:fill>
    <x:fill>
      <x:patternFill patternType="solid">
        <x:fgColor rgb="FFF3F6F9"/>
      </x:patternFill>
    </x:fill>
    <x:fill>
      <x:patternFill patternType="solid">
        <x:fgColor rgb="FF294A69"/>
      </x:patternFill>
    </x:fill>
    <x:fill>
      <x:patternFill patternType="solid">
        <x:fgColor rgb="FF506B84"/>
      </x:patternFill>
    </x:fill>
    <x:fill>
      <x:patternFill patternType="solid">
        <x:fgColor rgb="FF294A69"/>
      </x:patternFill>
    </x:fill>
  </x:fills>
  <x:borders count="2">
    <x:border>
      <x:left/>
      <x:right/>
      <x:top/>
      <x:bottom/>
      <x:diagonal/>
    </x:border>
    <x:border>
      <x:left/>
      <x:right/>
      <x:top style="medium">
        <x:color rgb="FF71869B"/>
      </x:top>
      <x:bottom/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4" fontId="1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3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3" fontId="1" fillId="0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3" fontId="1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3" fontId="1" fillId="4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4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4" fontId="1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203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ill>
        <x:patternFill>
          <x:bgColor rgb="FFE7F0E9"/>
        </x:patternFill>
      </x:fill>
    </x:dxf>
    <x:dxf>
      <x:fill>
        <x:patternFill>
          <x:bgColor rgb="FFFBE5DC"/>
        </x:patternFill>
      </x:fill>
    </x:dxf>
    <x:dxf>
      <x:fill>
        <x:patternFill>
          <x:bgColor rgb="FFE7EDF6"/>
        </x:patternFill>
      </x:fill>
    </x:dxf>
    <x:dxf>
      <x:fill>
        <x:patternFill>
          <x:bgColor rgb="FFFBE5DC"/>
        </x:patternFill>
      </x:fill>
    </x:dxf>
    <x:dxf>
      <x:fill>
        <x:patternFill>
          <x:bgColor rgb="FFFFF1C7"/>
        </x:patternFill>
      </x:fill>
    </x:dxf>
    <x:dxf>
      <x:fill>
        <x:patternFill>
          <x:bgColor rgb="FFE7F0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ac690da574ad2" /><Relationship Type="http://schemas.openxmlformats.org/officeDocument/2006/relationships/theme" Target="/xl/theme/theme1.xml" Id="R6648faf25ead495f" /><Relationship Type="http://schemas.openxmlformats.org/officeDocument/2006/relationships/sharedStrings" Target="/xl/sharedStrings.xml" Id="Raf5cc28d43964f89" /><Relationship Type="http://schemas.openxmlformats.org/officeDocument/2006/relationships/worksheet" Target="/xl/worksheets/sheet1.xml" Id="R60a89d1e7f4a40d5" /><Relationship Type="http://schemas.openxmlformats.org/officeDocument/2006/relationships/worksheet" Target="/xl/worksheets/sheet2.xml" Id="R64a9427ba76f43e3" /></Relationships>
</file>

<file path=xl/tables/table1.xml><?xml version="1.0" encoding="utf-8"?>
<x:table xmlns:x="http://schemas.openxmlformats.org/spreadsheetml/2006/main" id="3" name="DailyPlan" displayName="DailyPlan" ref="A10:O60" headerRowCount="1" totalsRowCount="0" totalsRowShown="0">
  <x:autoFilter ref="A10:O60"/>
  <x:tableColumns count="15">
    <x:tableColumn id="1" name="日次"/>
    <x:tableColumn id="2" name="日期"/>
    <x:tableColumn id="3" name="阶段"/>
    <x:tableColumn id="4" name="微观任务"/>
    <x:tableColumn id="5" name="宏观任务"/>
    <x:tableColumn id="6" name="政经任务"/>
    <x:tableColumn id="7" name="复做与调整"/>
    <x:tableColumn id="8" name="微观状态"/>
    <x:tableColumn id="9" name="宏观状态"/>
    <x:tableColumn id="10" name="政经状态"/>
    <x:tableColumn id="11" name="复做状态"/>
    <x:tableColumn id="12" name="当日状态"/>
    <x:tableColumn id="13" name="实学分钟"/>
    <x:tableColumn id="14" name="待补事项"/>
    <x:tableColumn id="15" name="计划分钟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ErrorReview" displayName="ErrorReview" ref="A6:L56" headerRowCount="1" totalsRowCount="0" totalsRowShown="0">
  <x:autoFilter ref="A6:L56"/>
  <x:tableColumns count="12">
    <x:tableColumn id="1" name="首次日期"/>
    <x:tableColumn id="2" name="学科"/>
    <x:tableColumn id="3" name="题号或节号"/>
    <x:tableColumn id="4" name="最早错误"/>
    <x:tableColumn id="5" name="下次先检查什么"/>
    <x:tableColumn id="6" name="掌握状态"/>
    <x:tableColumn id="7" name="次日复做"/>
    <x:tableColumn id="8" name="4天后抽查"/>
    <x:tableColumn id="9" name="7天后抽查"/>
    <x:tableColumn id="10" name="最近复做日期"/>
    <x:tableColumn id="11" name="复做结果"/>
    <x:tableColumn id="12" name="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05d93654e140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a791bc63a442c7" /></Relationships>
</file>

<file path=xl/worksheets/sheet1.xml><?xml version="1.0" encoding="utf-8"?>
<x:worksheet xmlns:x="http://schemas.openxmlformats.org/spreadsheetml/2006/main">
  <x:sheetPr>
    <x:tabColor rgb="FF294A69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6" hidden="0" customWidth="1"/>
    <x:col min="2" max="2" width="11.630000114440918" hidden="0" customWidth="1"/>
    <x:col min="3" max="3" width="12.5" hidden="0" customWidth="1"/>
    <x:col min="4" max="4" width="37.5" hidden="0" customWidth="1"/>
    <x:col min="5" max="5" width="35" hidden="0" customWidth="1"/>
    <x:col min="6" max="6" width="38.75" hidden="0" customWidth="1"/>
    <x:col min="7" max="7" width="33.75" hidden="0" customWidth="1"/>
    <x:col min="8" max="8" width="11.75" hidden="0" customWidth="1"/>
    <x:col min="9" max="9" width="11.75" hidden="0" customWidth="1"/>
    <x:col min="10" max="10" width="11.75" hidden="0" customWidth="1"/>
    <x:col min="11" max="11" width="11.75" hidden="0" customWidth="1"/>
    <x:col min="12" max="12" width="11.75" hidden="0" customWidth="1"/>
    <x:col min="13" max="13" width="12.880000114440918" hidden="0" customWidth="1"/>
    <x:col min="14" max="14" width="32.5" hidden="0" customWidth="1"/>
    <x:col min="15" max="15" width="11.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人大802五十天独立题训练计划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起始日</x:v>
      </x:c>
      <x:c r="B4" s="8" t="d">
        <x:v>2026-10-29T00:00:00.000Z</x:v>
      </x:c>
      <x:c r="C4" s="2" t="str">
        <x:v>日均计划分钟</x:v>
      </x:c>
      <x:c r="D4" s="11" t="n">
        <x:f>AVERAGE(O11:O60)</x:f>
        <x:v>681.2</x:v>
      </x:c>
      <x:c r="E4" s="2" t="str">
        <x:v>已完成天数</x:v>
      </x:c>
      <x:c r="F4" s="10" t="n">
        <x:f>COUNTIFS(L11:L60,"完成")</x:f>
        <x:v>0</x:v>
      </x:c>
      <x:c r="G4" s="2" t="str">
        <x:v>计划总小时</x:v>
      </x:c>
      <x:c r="H4" s="11" t="n">
        <x:f>SUM(O11:O60)/60</x:f>
        <x:v>567.6666666666666</x:v>
      </x:c>
      <x:c r="I4" s="2" t="str">
        <x:v>实际总小时</x:v>
      </x:c>
      <x:c r="J4" s="11" t="str">
        <x:f>IF(COUNT(M11:M60)=0,"",SUM(M11:M60)/60)</x:f>
      </x:c>
      <x:c r="K4" s="2"/>
      <x:c r="L4" s="2"/>
      <x:c r="M4" s="2"/>
      <x:c r="N4" s="2"/>
    </x:row>
    <x:row r="5">
      <x:c r="A5" s="2" t="str">
        <x:v>结束日</x:v>
      </x:c>
      <x:c r="B5" s="9" t="n">
        <x:f>$B$4+49</x:f>
        <x:v>46373</x:v>
      </x:c>
      <x:c r="C5" s="2" t="str">
        <x:v>完成率</x:v>
      </x:c>
      <x:c r="D5" s="12" t="n">
        <x:f>$F$4/50</x:f>
        <x:v>0</x:v>
      </x:c>
      <x:c r="E5" s="2" t="str">
        <x:v>待补天数</x:v>
      </x:c>
      <x:c r="F5" s="10" t="n">
        <x:f>COUNTIFS(L11:L60,"待补")</x:f>
        <x:v>0</x:v>
      </x:c>
      <x:c r="G5" s="2" t="str">
        <x:v>尚未完成天数</x:v>
      </x:c>
      <x:c r="H5" s="10" t="n">
        <x:f>50-F4</x:f>
        <x:v>50</x:v>
      </x:c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19.5" customHeight="1">
      <x:c r="A7" s="13" t="str">
        <x:v>每科每天10道独立题；每科100道题，50天500次作答，含复做。一题的小问合计一道。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19.5" customHeight="1">
      <x:c r="A8" s="13" t="str">
        <x:v>四项状态均为完成才计当日完成。黄色输入格和错题记录保留；只改B4可顺延日期。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19.5" customHeight="1">
      <x:c r="A9" s="13" t="str">
        <x:v>计划分钟按三科完整作答时间求和，另含60分钟订正；休息另计。实际分钟填M列，未完成记待补。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4" customHeight="1">
      <x:c r="A10" s="53" t="str">
        <x:v>日次</x:v>
      </x:c>
      <x:c r="B10" s="53" t="str">
        <x:v>日期</x:v>
      </x:c>
      <x:c r="C10" s="53" t="str">
        <x:v>阶段</x:v>
      </x:c>
      <x:c r="D10" s="53" t="str">
        <x:v>微观任务</x:v>
      </x:c>
      <x:c r="E10" s="53" t="str">
        <x:v>宏观任务</x:v>
      </x:c>
      <x:c r="F10" s="53" t="str">
        <x:v>政经任务</x:v>
      </x:c>
      <x:c r="G10" s="53" t="str">
        <x:v>复做与调整</x:v>
      </x:c>
      <x:c r="H10" s="53" t="str">
        <x:v>微观状态</x:v>
      </x:c>
      <x:c r="I10" s="53" t="str">
        <x:v>宏观状态</x:v>
      </x:c>
      <x:c r="J10" s="53" t="str">
        <x:v>政经状态</x:v>
      </x:c>
      <x:c r="K10" s="53" t="str">
        <x:v>复做状态</x:v>
      </x:c>
      <x:c r="L10" s="53" t="str">
        <x:v>当日状态</x:v>
      </x:c>
      <x:c r="M10" s="53" t="str">
        <x:v>实学分钟</x:v>
      </x:c>
      <x:c r="N10" s="53" t="str">
        <x:v>待补事项</x:v>
      </x:c>
      <x:c r="O10" s="53" t="str">
        <x:v>计划分钟</x:v>
      </x:c>
    </x:row>
    <x:row r="11" ht="88.5" customHeight="1">
      <x:c r="A11" s="31" t="n">
        <x:v>1</x:v>
      </x:c>
      <x:c r="B11" s="32" t="n">
        <x:f>$B$4+A11-1</x:f>
        <x:v>46324</x:v>
      </x:c>
      <x:c r="C11" s="31" t="str">
        <x:v>专题首做</x:v>
      </x:c>
      <x:c r="D11" s="19" t="str">
        <x:v>189分钟 10题
MI001、MI002、MI003、MI004
MI005、MI006、MI007
MI008、MI009、MI010
消费选择与需求证明 首次闭卷</x:v>
      </x:c>
      <x:c r="E11" s="19" t="str">
        <x:v>214分钟 10题
MA001、MA002、MA003、MA004
MA005、MA006、MA007
MA008、MA009、MA010
增长稳态与资本配置 首次闭卷</x:v>
      </x:c>
      <x:c r="F11" s="19" t="str">
        <x:v>186分钟 10题
PE001、PE002、PE003、PE004
PE005、PE006、PE007
PE008、PE009、PE010
商品价值与货币 首次闭卷</x:v>
      </x:c>
      <x:c r="G11" s="19" t="str">
        <x:v>60分钟订正
先核最早错误；三科各记1个条件断点
红题替换次日同科已熟题，仍为10题
未完成题记待补，不把读答案计完成</x:v>
      </x:c>
      <x:c r="H11" s="39" t="str">
        <x:v>未开始</x:v>
      </x:c>
      <x:c r="I11" s="39" t="str">
        <x:v>未开始</x:v>
      </x:c>
      <x:c r="J11" s="39" t="str">
        <x:v>未开始</x:v>
      </x:c>
      <x:c r="K11" s="39" t="str">
        <x:v>未开始</x:v>
      </x:c>
      <x:c r="L11" s="31" t="str">
        <x:f>IF(COUNTIFS(H11:K11,"完成")=4,"完成",IF(COUNTIFS(H11:K11,"待补")&gt;0,"待补",IF(COUNTIFS(H11:K11,"未开始")=4,"未开始","进行中")))</x:f>
        <x:v>未开始</x:v>
      </x:c>
      <x:c r="M11" s="40"/>
      <x:c r="N11" s="21"/>
      <x:c r="O11" s="61" t="n">
        <x:v>649</x:v>
      </x:c>
    </x:row>
    <x:row r="12" ht="88.5" customHeight="1">
      <x:c r="A12" s="33" t="n">
        <x:v>2</x:v>
      </x:c>
      <x:c r="B12" s="34" t="n">
        <x:f>$B$4+A12-1</x:f>
        <x:v>46325</x:v>
      </x:c>
      <x:c r="C12" s="33" t="str">
        <x:v>专题首做</x:v>
      </x:c>
      <x:c r="D12" s="23" t="str">
        <x:v>196分钟 10题
MI011、MI012、MI013、MI014
MI015、MI016、MI017
MI018、MI019、MI020
税收工具与福利核账 首次闭卷</x:v>
      </x:c>
      <x:c r="E12" s="23" t="str">
        <x:v>206分钟 10题
MA011、MA012、MA013、MA014
MA015、MA016、MA017
MA018、MA019、MA020
跨期消费储蓄与企业投资 首次闭卷</x:v>
      </x:c>
      <x:c r="F12" s="23" t="str">
        <x:v>194分钟 10题
PE011、PE012、PE013、PE014
PE015、PE016、PE017
PE018、PE019、PE020
资本与剩余价值生产 首次闭卷</x:v>
      </x:c>
      <x:c r="G12" s="23" t="str">
        <x:v>60分钟订正
先核最早错误；三科各记1个条件断点
红题替换次日同科已熟题，仍为10题
未完成题记待补，不把读答案计完成</x:v>
      </x:c>
      <x:c r="H12" s="41" t="str">
        <x:v>未开始</x:v>
      </x:c>
      <x:c r="I12" s="41" t="str">
        <x:v>未开始</x:v>
      </x:c>
      <x:c r="J12" s="41" t="str">
        <x:v>未开始</x:v>
      </x:c>
      <x:c r="K12" s="41" t="str">
        <x:v>未开始</x:v>
      </x:c>
      <x:c r="L12" s="35" t="str">
        <x:f>IF(COUNTIFS(H12:K12,"完成")=4,"完成",IF(COUNTIFS(H12:K12,"待补")&gt;0,"待补",IF(COUNTIFS(H12:K12,"未开始")=4,"未开始","进行中")))</x:f>
        <x:v>未开始</x:v>
      </x:c>
      <x:c r="M12" s="42"/>
      <x:c r="N12" s="17"/>
      <x:c r="O12" s="61" t="n">
        <x:v>656</x:v>
      </x:c>
    </x:row>
    <x:row r="13" ht="88.5" customHeight="1">
      <x:c r="A13" s="35" t="n">
        <x:v>3</x:v>
      </x:c>
      <x:c r="B13" s="36" t="n">
        <x:f>$B$4+A13-1</x:f>
        <x:v>46326</x:v>
      </x:c>
      <x:c r="C13" s="35" t="str">
        <x:v>专题首做</x:v>
      </x:c>
      <x:c r="D13" s="15" t="str">
        <x:v>206分钟 10题
MI021、MI022、MI023、MI024
MI025、MI026、MI027
MI028、MI029、MI030
风险信息与跨期选择 首次闭卷</x:v>
      </x:c>
      <x:c r="E13" s="15" t="str">
        <x:v>211分钟 10题
MA021、MA022、MA023、MA024
MA025、MA026、MA027
MA028、MA029、MA030
IS LM与信用利差 首次闭卷</x:v>
      </x:c>
      <x:c r="F13" s="15" t="str">
        <x:v>196分钟 10题
PE021、PE022、PE023、PE024
PE025、PE026、PE027
PE028、PE029、PE030
资本积累与贫困 首次闭卷</x:v>
      </x:c>
      <x:c r="G13" s="15" t="str">
        <x:v>60分钟订正
先核最早错误；三科各记1个条件断点
红题替换次日同科已熟题，仍为10题
未完成题记待补，不把读答案计完成</x:v>
      </x:c>
      <x:c r="H13" s="41" t="str">
        <x:v>未开始</x:v>
      </x:c>
      <x:c r="I13" s="41" t="str">
        <x:v>未开始</x:v>
      </x:c>
      <x:c r="J13" s="41" t="str">
        <x:v>未开始</x:v>
      </x:c>
      <x:c r="K13" s="41" t="str">
        <x:v>未开始</x:v>
      </x:c>
      <x:c r="L13" s="35" t="str">
        <x:f>IF(COUNTIFS(H13:K13,"完成")=4,"完成",IF(COUNTIFS(H13:K13,"待补")&gt;0,"待补",IF(COUNTIFS(H13:K13,"未开始")=4,"未开始","进行中")))</x:f>
        <x:v>未开始</x:v>
      </x:c>
      <x:c r="M13" s="42"/>
      <x:c r="N13" s="17"/>
      <x:c r="O13" s="61" t="n">
        <x:v>673</x:v>
      </x:c>
    </x:row>
    <x:row r="14" ht="88.5" customHeight="1">
      <x:c r="A14" s="33" t="n">
        <x:v>4</x:v>
      </x:c>
      <x:c r="B14" s="34" t="n">
        <x:f>$B$4+A14-1</x:f>
        <x:v>46327</x:v>
      </x:c>
      <x:c r="C14" s="33" t="str">
        <x:v>专题首做</x:v>
      </x:c>
      <x:c r="D14" s="23" t="str">
        <x:v>202分钟 10题
MI031、MI032、MI033、MI034
MI035、MI036、MI037
MI038、MI039、MI040
生产成本与竞争调整 首次闭卷</x:v>
      </x:c>
      <x:c r="E14" s="23" t="str">
        <x:v>206分钟 10题
MA031、MA032、MA033、MA034
MA035、MA036、MA037
MA038、MA039、MA040
总需求总供给与复合冲击 首次闭卷</x:v>
      </x:c>
      <x:c r="F14" s="23" t="str">
        <x:v>198分钟 10题
PE031、PE032、PE033、PE034
PE035、PE036、PE037
PE038、PE039、PE040
产业资本循环与周转 首次闭卷</x:v>
      </x:c>
      <x:c r="G14" s="23" t="str">
        <x:v>60分钟订正
先核最早错误；三科各记1个条件断点
红题替换次日同科已熟题，仍为10题
未完成题记待补，不把读答案计完成</x:v>
      </x:c>
      <x:c r="H14" s="41" t="str">
        <x:v>未开始</x:v>
      </x:c>
      <x:c r="I14" s="41" t="str">
        <x:v>未开始</x:v>
      </x:c>
      <x:c r="J14" s="41" t="str">
        <x:v>未开始</x:v>
      </x:c>
      <x:c r="K14" s="41" t="str">
        <x:v>未开始</x:v>
      </x:c>
      <x:c r="L14" s="35" t="str">
        <x:f>IF(COUNTIFS(H14:K14,"完成")=4,"完成",IF(COUNTIFS(H14:K14,"待补")&gt;0,"待补",IF(COUNTIFS(H14:K14,"未开始")=4,"未开始","进行中")))</x:f>
        <x:v>未开始</x:v>
      </x:c>
      <x:c r="M14" s="42"/>
      <x:c r="N14" s="17"/>
      <x:c r="O14" s="61" t="n">
        <x:v>666</x:v>
      </x:c>
    </x:row>
    <x:row r="15" ht="88.5" customHeight="1">
      <x:c r="A15" s="35" t="n">
        <x:v>5</x:v>
      </x:c>
      <x:c r="B15" s="36" t="n">
        <x:f>$B$4+A15-1</x:f>
        <x:v>46328</x:v>
      </x:c>
      <x:c r="C15" s="35" t="str">
        <x:v>专题首做</x:v>
      </x:c>
      <x:c r="D15" s="15" t="str">
        <x:v>212分钟 10题
MI041、MI042、MI043、MI044
MI045、MI046、MI047
MI048、MI049、MI050
垄断定价与合同设计 首次闭卷</x:v>
      </x:c>
      <x:c r="E15" s="15" t="str">
        <x:v>207分钟 10题
MA041、MA042、MA043、MA044
MA045、MA046、MA047
MA048、MA049、MA050
通胀预期与动态调整 首次闭卷</x:v>
      </x:c>
      <x:c r="F15" s="15" t="str">
        <x:v>224分钟 10题
PE041、PE042、PE043、PE044
PE045、PE046、PE047
PE048、PE049、PE050
两部类再生产与技术更新 首次闭卷</x:v>
      </x:c>
      <x:c r="G15" s="15" t="str">
        <x:v>60分钟订正
先核最早错误；三科各记1个条件断点
红题替换次日同科已熟题，仍为10题
未完成题记待补，不把读答案计完成</x:v>
      </x:c>
      <x:c r="H15" s="41" t="str">
        <x:v>未开始</x:v>
      </x:c>
      <x:c r="I15" s="41" t="str">
        <x:v>未开始</x:v>
      </x:c>
      <x:c r="J15" s="41" t="str">
        <x:v>未开始</x:v>
      </x:c>
      <x:c r="K15" s="41" t="str">
        <x:v>未开始</x:v>
      </x:c>
      <x:c r="L15" s="35" t="str">
        <x:f>IF(COUNTIFS(H15:K15,"完成")=4,"完成",IF(COUNTIFS(H15:K15,"待补")&gt;0,"待补",IF(COUNTIFS(H15:K15,"未开始")=4,"未开始","进行中")))</x:f>
        <x:v>未开始</x:v>
      </x:c>
      <x:c r="M15" s="42"/>
      <x:c r="N15" s="17"/>
      <x:c r="O15" s="61" t="n">
        <x:v>703</x:v>
      </x:c>
    </x:row>
    <x:row r="16" ht="88.5" customHeight="1">
      <x:c r="A16" s="33" t="n">
        <x:v>6</x:v>
      </x:c>
      <x:c r="B16" s="34" t="n">
        <x:f>$B$4+A16-1</x:f>
        <x:v>46329</x:v>
      </x:c>
      <x:c r="C16" s="33" t="str">
        <x:v>专题首做</x:v>
      </x:c>
      <x:c r="D16" s="23" t="str">
        <x:v>200分钟 10题
MI051、MI052、MI053、MI054
MI055、MI056、MI057
MI058、MI059、MI060
寡头博弈与动态激励 首次闭卷</x:v>
      </x:c>
      <x:c r="E16" s="23" t="str">
        <x:v>209分钟 10题
MA051、MA052、MA053、MA054
MA055、MA056、MA057
MA058、MA059、MA060
失业人口与自然率滞后 首次闭卷</x:v>
      </x:c>
      <x:c r="F16" s="23" t="str">
        <x:v>216分钟 10题
PE051、PE052、PE053、PE054
PE055、PE056、PE057
PE058、PE059、PE060
平均利润商业利润与地租 首次闭卷</x:v>
      </x:c>
      <x:c r="G16" s="23" t="str">
        <x:v>60分钟订正
先核最早错误；三科各记1个条件断点
红题替换次日同科已熟题，仍为10题
未完成题记待补，不把读答案计完成</x:v>
      </x:c>
      <x:c r="H16" s="41" t="str">
        <x:v>未开始</x:v>
      </x:c>
      <x:c r="I16" s="41" t="str">
        <x:v>未开始</x:v>
      </x:c>
      <x:c r="J16" s="41" t="str">
        <x:v>未开始</x:v>
      </x:c>
      <x:c r="K16" s="41" t="str">
        <x:v>未开始</x:v>
      </x:c>
      <x:c r="L16" s="35" t="str">
        <x:f>IF(COUNTIFS(H16:K16,"完成")=4,"完成",IF(COUNTIFS(H16:K16,"待补")&gt;0,"待补",IF(COUNTIFS(H16:K16,"未开始")=4,"未开始","进行中")))</x:f>
        <x:v>未开始</x:v>
      </x:c>
      <x:c r="M16" s="42"/>
      <x:c r="N16" s="17"/>
      <x:c r="O16" s="61" t="n">
        <x:v>685</x:v>
      </x:c>
    </x:row>
    <x:row r="17" ht="88.5" customHeight="1">
      <x:c r="A17" s="35" t="n">
        <x:v>7</x:v>
      </x:c>
      <x:c r="B17" s="36" t="n">
        <x:f>$B$4+A17-1</x:f>
        <x:v>46330</x:v>
      </x:c>
      <x:c r="C17" s="35" t="str">
        <x:v>专题首做</x:v>
      </x:c>
      <x:c r="D17" s="15" t="str">
        <x:v>205分钟 10题
MI061、MI062、MI063、MI064
MI065、MI066、MI067
MI068、MI069、MI070
劳动市场与要素配置 首次闭卷</x:v>
      </x:c>
      <x:c r="E17" s="15" t="str">
        <x:v>213分钟 10题
MA061、MA062、MA063、MA064
MA065、MA066、MA067
MA068、MA069、MA070
货币政策规则与可信度 首次闭卷</x:v>
      </x:c>
      <x:c r="F17" s="15" t="str">
        <x:v>205分钟 10题
PE061、PE062、PE063、PE064
PE065、PE066、PE067
PE068、PE069、PE070
信用虚拟资本垄断与危机 首次闭卷</x:v>
      </x:c>
      <x:c r="G17" s="15" t="str">
        <x:v>60分钟订正
先核最早错误；三科各记1个条件断点
红题替换次日同科已熟题，仍为10题
未完成题记待补，不把读答案计完成</x:v>
      </x:c>
      <x:c r="H17" s="41" t="str">
        <x:v>未开始</x:v>
      </x:c>
      <x:c r="I17" s="41" t="str">
        <x:v>未开始</x:v>
      </x:c>
      <x:c r="J17" s="41" t="str">
        <x:v>未开始</x:v>
      </x:c>
      <x:c r="K17" s="41" t="str">
        <x:v>未开始</x:v>
      </x:c>
      <x:c r="L17" s="35" t="str">
        <x:f>IF(COUNTIFS(H17:K17,"完成")=4,"完成",IF(COUNTIFS(H17:K17,"待补")&gt;0,"待补",IF(COUNTIFS(H17:K17,"未开始")=4,"未开始","进行中")))</x:f>
        <x:v>未开始</x:v>
      </x:c>
      <x:c r="M17" s="42"/>
      <x:c r="N17" s="17"/>
      <x:c r="O17" s="61" t="n">
        <x:v>683</x:v>
      </x:c>
    </x:row>
    <x:row r="18" ht="88.5" customHeight="1">
      <x:c r="A18" s="33" t="n">
        <x:v>8</x:v>
      </x:c>
      <x:c r="B18" s="34" t="n">
        <x:f>$B$4+A18-1</x:f>
        <x:v>46331</x:v>
      </x:c>
      <x:c r="C18" s="33" t="str">
        <x:v>专题首做</x:v>
      </x:c>
      <x:c r="D18" s="23" t="str">
        <x:v>220分钟 10题
MI071、MI072、MI073、MI074
MI075、MI076、MI077
MI078、MI079、MI080
交换均衡与公平再分配 首次闭卷</x:v>
      </x:c>
      <x:c r="E18" s="23" t="str">
        <x:v>207分钟 10题
MA071、MA072、MA073、MA074
MA075、MA076、MA077
MA078、MA079、MA080
财政税收与政府债务 首次闭卷</x:v>
      </x:c>
      <x:c r="F18" s="23" t="str">
        <x:v>198分钟 10题
PE071、PE072、PE073、PE074
PE075、PE076、PE077
PE078、PE079、PE080
基本经济制度与收入分配 首次闭卷</x:v>
      </x:c>
      <x:c r="G18" s="23" t="str">
        <x:v>60分钟订正
先核最早错误；三科各记1个条件断点
红题替换次日同科已熟题，仍为10题
未完成题记待补，不把读答案计完成</x:v>
      </x:c>
      <x:c r="H18" s="41" t="str">
        <x:v>未开始</x:v>
      </x:c>
      <x:c r="I18" s="41" t="str">
        <x:v>未开始</x:v>
      </x:c>
      <x:c r="J18" s="41" t="str">
        <x:v>未开始</x:v>
      </x:c>
      <x:c r="K18" s="41" t="str">
        <x:v>未开始</x:v>
      </x:c>
      <x:c r="L18" s="35" t="str">
        <x:f>IF(COUNTIFS(H18:K18,"完成")=4,"完成",IF(COUNTIFS(H18:K18,"待补")&gt;0,"待补",IF(COUNTIFS(H18:K18,"未开始")=4,"未开始","进行中")))</x:f>
        <x:v>未开始</x:v>
      </x:c>
      <x:c r="M18" s="42"/>
      <x:c r="N18" s="17"/>
      <x:c r="O18" s="61" t="n">
        <x:v>685</x:v>
      </x:c>
    </x:row>
    <x:row r="19" ht="88.5" customHeight="1">
      <x:c r="A19" s="35" t="n">
        <x:v>9</x:v>
      </x:c>
      <x:c r="B19" s="36" t="n">
        <x:f>$B$4+A19-1</x:f>
        <x:v>46332</x:v>
      </x:c>
      <x:c r="C19" s="35" t="str">
        <x:v>专题首做</x:v>
      </x:c>
      <x:c r="D19" s="15" t="str">
        <x:v>218分钟 10题
MI081、MI082、MI083、MI084
MI085、MI086、MI087
MI088、MI089、MI090
生产边界与外部公共品 首次闭卷</x:v>
      </x:c>
      <x:c r="E19" s="15" t="str">
        <x:v>208分钟 10题
MA081、MA082、MA083、MA084
MA085、MA086、MA087
MA088、MA089、MA090
开放经济与汇率调整 首次闭卷</x:v>
      </x:c>
      <x:c r="F19" s="15" t="str">
        <x:v>208分钟 10题
PE081、PE082、PE083、PE084
PE085、PE086、PE087
PE088、PE089、PE090
社会主义市场经济与发展 首次闭卷</x:v>
      </x:c>
      <x:c r="G19" s="15" t="str">
        <x:v>60分钟订正
先核最早错误；三科各记1个条件断点
红题替换次日同科已熟题，仍为10题
未完成题记待补，不把读答案计完成</x:v>
      </x:c>
      <x:c r="H19" s="41" t="str">
        <x:v>未开始</x:v>
      </x:c>
      <x:c r="I19" s="41" t="str">
        <x:v>未开始</x:v>
      </x:c>
      <x:c r="J19" s="41" t="str">
        <x:v>未开始</x:v>
      </x:c>
      <x:c r="K19" s="41" t="str">
        <x:v>未开始</x:v>
      </x:c>
      <x:c r="L19" s="35" t="str">
        <x:f>IF(COUNTIFS(H19:K19,"完成")=4,"完成",IF(COUNTIFS(H19:K19,"待补")&gt;0,"待补",IF(COUNTIFS(H19:K19,"未开始")=4,"未开始","进行中")))</x:f>
        <x:v>未开始</x:v>
      </x:c>
      <x:c r="M19" s="42"/>
      <x:c r="N19" s="17"/>
      <x:c r="O19" s="61" t="n">
        <x:v>694</x:v>
      </x:c>
    </x:row>
    <x:row r="20" ht="88.5" customHeight="1">
      <x:c r="A20" s="33" t="n">
        <x:v>10</x:v>
      </x:c>
      <x:c r="B20" s="34" t="n">
        <x:f>$B$4+A20-1</x:f>
        <x:v>46333</x:v>
      </x:c>
      <x:c r="C20" s="33" t="str">
        <x:v>专题首做</x:v>
      </x:c>
      <x:c r="D20" s="23" t="str">
        <x:v>220分钟 10题
MI091、MI092、MI093、MI094
MI095、MI096、MI097
MI098、MI099、MI100
信息不对称与机制设计 首次闭卷</x:v>
      </x:c>
      <x:c r="E20" s="23" t="str">
        <x:v>218分钟 10题
MA091、MA092、MA093、MA094
MA095、MA096、MA097
MA098、MA099、MA100
数据证据与宏观机制比较 首次闭卷</x:v>
      </x:c>
      <x:c r="F20" s="23" t="str">
        <x:v>220分钟 10题
PE091、PE092、PE093、PE094
PE095、PE096、PE097
PE098、PE099、PE100
全球化与综合材料分析 首次闭卷</x:v>
      </x:c>
      <x:c r="G20" s="23" t="str">
        <x:v>60分钟订正
先核最早错误；三科各记1个条件断点
红题替换次日同科已熟题，仍为10题
未完成题记待补，不把读答案计完成</x:v>
      </x:c>
      <x:c r="H20" s="41" t="str">
        <x:v>未开始</x:v>
      </x:c>
      <x:c r="I20" s="41" t="str">
        <x:v>未开始</x:v>
      </x:c>
      <x:c r="J20" s="41" t="str">
        <x:v>未开始</x:v>
      </x:c>
      <x:c r="K20" s="41" t="str">
        <x:v>未开始</x:v>
      </x:c>
      <x:c r="L20" s="35" t="str">
        <x:f>IF(COUNTIFS(H20:K20,"完成")=4,"完成",IF(COUNTIFS(H20:K20,"待补")&gt;0,"待补",IF(COUNTIFS(H20:K20,"未开始")=4,"未开始","进行中")))</x:f>
        <x:v>未开始</x:v>
      </x:c>
      <x:c r="M20" s="42"/>
      <x:c r="N20" s="17"/>
      <x:c r="O20" s="61" t="n">
        <x:v>718</x:v>
      </x:c>
    </x:row>
    <x:row r="21" ht="88.5" customHeight="1">
      <x:c r="A21" s="35" t="n">
        <x:v>11</x:v>
      </x:c>
      <x:c r="B21" s="36" t="n">
        <x:f>$B$4+A21-1</x:f>
        <x:v>46334</x:v>
      </x:c>
      <x:c r="C21" s="35" t="str">
        <x:v>跨组闭卷复做</x:v>
      </x:c>
      <x:c r="D21" s="15" t="str">
        <x:v>216分钟 10题
MI012、MI045、MI078、MI001
MI034、MI067、MI100
MI023、MI056、MI089
十组各1题；按完整题连续作答</x:v>
      </x:c>
      <x:c r="E21" s="15" t="str">
        <x:v>201分钟 10题
MA012、MA045、MA078、MA001
MA034、MA067、MA100
MA023、MA056、MA089
十组各1题；按完整题连续作答</x:v>
      </x:c>
      <x:c r="F21" s="15" t="str">
        <x:v>206分钟 10题
PE012、PE045、PE078、PE001
PE034、PE067、PE100
PE023、PE056、PE089
十组各1题；按完整题连续作答</x:v>
      </x:c>
      <x:c r="G21" s="15" t="str">
        <x:v>60分钟订正
先核最早错误；三科各记1个条件断点
红题替换次日同科已熟题，仍为10题
未完成题记待补，不把读答案计完成</x:v>
      </x:c>
      <x:c r="H21" s="41" t="str">
        <x:v>未开始</x:v>
      </x:c>
      <x:c r="I21" s="41" t="str">
        <x:v>未开始</x:v>
      </x:c>
      <x:c r="J21" s="41" t="str">
        <x:v>未开始</x:v>
      </x:c>
      <x:c r="K21" s="41" t="str">
        <x:v>未开始</x:v>
      </x:c>
      <x:c r="L21" s="35" t="str">
        <x:f>IF(COUNTIFS(H21:K21,"完成")=4,"完成",IF(COUNTIFS(H21:K21,"待补")&gt;0,"待补",IF(COUNTIFS(H21:K21,"未开始")=4,"未开始","进行中")))</x:f>
        <x:v>未开始</x:v>
      </x:c>
      <x:c r="M21" s="42"/>
      <x:c r="N21" s="17"/>
      <x:c r="O21" s="61" t="n">
        <x:v>683</x:v>
      </x:c>
    </x:row>
    <x:row r="22" ht="88.5" customHeight="1">
      <x:c r="A22" s="33" t="n">
        <x:v>12</x:v>
      </x:c>
      <x:c r="B22" s="34" t="n">
        <x:f>$B$4+A22-1</x:f>
        <x:v>46335</x:v>
      </x:c>
      <x:c r="C22" s="33" t="str">
        <x:v>跨组闭卷复做</x:v>
      </x:c>
      <x:c r="D22" s="23" t="str">
        <x:v>195分钟 10题
MI024、MI057、MI090、MI013
MI046、MI079、MI002
MI035、MI068、MI091
十组各1题；按完整题连续作答</x:v>
      </x:c>
      <x:c r="E22" s="23" t="str">
        <x:v>209分钟 10题
MA024、MA057、MA090、MA013
MA046、MA079、MA002
MA035、MA068、MA091
十组各1题；按完整题连续作答</x:v>
      </x:c>
      <x:c r="F22" s="23" t="str">
        <x:v>201分钟 10题
PE024、PE057、PE090、PE013
PE046、PE079、PE002
PE035、PE068、PE091
十组各1题；按完整题连续作答</x:v>
      </x:c>
      <x:c r="G22" s="23" t="str">
        <x:v>60分钟订正
先核最早错误；三科各记1个条件断点
红题替换次日同科已熟题，仍为10题
未完成题记待补，不把读答案计完成</x:v>
      </x:c>
      <x:c r="H22" s="41" t="str">
        <x:v>未开始</x:v>
      </x:c>
      <x:c r="I22" s="41" t="str">
        <x:v>未开始</x:v>
      </x:c>
      <x:c r="J22" s="41" t="str">
        <x:v>未开始</x:v>
      </x:c>
      <x:c r="K22" s="41" t="str">
        <x:v>未开始</x:v>
      </x:c>
      <x:c r="L22" s="35" t="str">
        <x:f>IF(COUNTIFS(H22:K22,"完成")=4,"完成",IF(COUNTIFS(H22:K22,"待补")&gt;0,"待补",IF(COUNTIFS(H22:K22,"未开始")=4,"未开始","进行中")))</x:f>
        <x:v>未开始</x:v>
      </x:c>
      <x:c r="M22" s="42"/>
      <x:c r="N22" s="17"/>
      <x:c r="O22" s="61" t="n">
        <x:v>665</x:v>
      </x:c>
    </x:row>
    <x:row r="23" ht="88.5" customHeight="1">
      <x:c r="A23" s="35" t="n">
        <x:v>13</x:v>
      </x:c>
      <x:c r="B23" s="36" t="n">
        <x:f>$B$4+A23-1</x:f>
        <x:v>46336</x:v>
      </x:c>
      <x:c r="C23" s="35" t="str">
        <x:v>跨组闭卷复做</x:v>
      </x:c>
      <x:c r="D23" s="15" t="str">
        <x:v>202分钟 10题
MI036、MI069、MI092、MI025
MI058、MI081、MI014
MI047、MI080、MI003
十组各1题；按完整题连续作答</x:v>
      </x:c>
      <x:c r="E23" s="15" t="str">
        <x:v>214分钟 10题
MA036、MA069、MA092、MA025
MA058、MA081、MA014
MA047、MA080、MA003
十组各1题；按完整题连续作答</x:v>
      </x:c>
      <x:c r="F23" s="15" t="str">
        <x:v>197分钟 10题
PE036、PE069、PE092、PE025
PE058、PE081、PE014
PE047、PE080、PE003
十组各1题；按完整题连续作答</x:v>
      </x:c>
      <x:c r="G23" s="15" t="str">
        <x:v>60分钟订正
先核最早错误；三科各记1个条件断点
红题替换次日同科已熟题，仍为10题
未完成题记待补，不把读答案计完成</x:v>
      </x:c>
      <x:c r="H23" s="41" t="str">
        <x:v>未开始</x:v>
      </x:c>
      <x:c r="I23" s="41" t="str">
        <x:v>未开始</x:v>
      </x:c>
      <x:c r="J23" s="41" t="str">
        <x:v>未开始</x:v>
      </x:c>
      <x:c r="K23" s="41" t="str">
        <x:v>未开始</x:v>
      </x:c>
      <x:c r="L23" s="35" t="str">
        <x:f>IF(COUNTIFS(H23:K23,"完成")=4,"完成",IF(COUNTIFS(H23:K23,"待补")&gt;0,"待补",IF(COUNTIFS(H23:K23,"未开始")=4,"未开始","进行中")))</x:f>
        <x:v>未开始</x:v>
      </x:c>
      <x:c r="M23" s="42"/>
      <x:c r="N23" s="17"/>
      <x:c r="O23" s="61" t="n">
        <x:v>673</x:v>
      </x:c>
    </x:row>
    <x:row r="24" ht="88.5" customHeight="1">
      <x:c r="A24" s="33" t="n">
        <x:v>14</x:v>
      </x:c>
      <x:c r="B24" s="34" t="n">
        <x:f>$B$4+A24-1</x:f>
        <x:v>46337</x:v>
      </x:c>
      <x:c r="C24" s="33" t="str">
        <x:v>跨组闭卷复做</x:v>
      </x:c>
      <x:c r="D24" s="23" t="str">
        <x:v>194分钟 10题
MI048、MI071、MI004、MI037
MI070、MI093、MI026
MI059、MI082、MI015
十组各1题；按完整题连续作答</x:v>
      </x:c>
      <x:c r="E24" s="23" t="str">
        <x:v>207分钟 10题
MA048、MA071、MA004、MA037
MA070、MA093、MA026
MA059、MA082、MA015
十组各1题；按完整题连续作答</x:v>
      </x:c>
      <x:c r="F24" s="23" t="str">
        <x:v>201分钟 10题
PE048、PE071、PE004、PE037
PE070、PE093、PE026
PE059、PE082、PE015
十组各1题；按完整题连续作答</x:v>
      </x:c>
      <x:c r="G24" s="23" t="str">
        <x:v>60分钟订正
先核最早错误；三科各记1个条件断点
红题替换次日同科已熟题，仍为10题
未完成题记待补，不把读答案计完成</x:v>
      </x:c>
      <x:c r="H24" s="41" t="str">
        <x:v>未开始</x:v>
      </x:c>
      <x:c r="I24" s="41" t="str">
        <x:v>未开始</x:v>
      </x:c>
      <x:c r="J24" s="41" t="str">
        <x:v>未开始</x:v>
      </x:c>
      <x:c r="K24" s="41" t="str">
        <x:v>未开始</x:v>
      </x:c>
      <x:c r="L24" s="35" t="str">
        <x:f>IF(COUNTIFS(H24:K24,"完成")=4,"完成",IF(COUNTIFS(H24:K24,"待补")&gt;0,"待补",IF(COUNTIFS(H24:K24,"未开始")=4,"未开始","进行中")))</x:f>
        <x:v>未开始</x:v>
      </x:c>
      <x:c r="M24" s="42"/>
      <x:c r="N24" s="17"/>
      <x:c r="O24" s="61" t="n">
        <x:v>662</x:v>
      </x:c>
    </x:row>
    <x:row r="25" ht="88.5" customHeight="1">
      <x:c r="A25" s="35" t="n">
        <x:v>15</x:v>
      </x:c>
      <x:c r="B25" s="36" t="n">
        <x:f>$B$4+A25-1</x:f>
        <x:v>46338</x:v>
      </x:c>
      <x:c r="C25" s="35" t="str">
        <x:v>跨组闭卷复做</x:v>
      </x:c>
      <x:c r="D25" s="15" t="str">
        <x:v>218分钟 10题
MI060、MI083、MI016、MI049
MI072、MI005、MI038
MI061、MI094、MI027
十组各1题；按完整题连续作答</x:v>
      </x:c>
      <x:c r="E25" s="15" t="str">
        <x:v>218分钟 10题
MA060、MA083、MA016、MA049
MA072、MA005、MA038
MA061、MA094、MA027
十组各1题；按完整题连续作答</x:v>
      </x:c>
      <x:c r="F25" s="15" t="str">
        <x:v>210分钟 10题
PE060、PE083、PE016、PE049
PE072、PE005、PE038
PE061、PE094、PE027
十组各1题；按完整题连续作答</x:v>
      </x:c>
      <x:c r="G25" s="15" t="str">
        <x:v>60分钟订正
先核最早错误；三科各记1个条件断点
红题替换次日同科已熟题，仍为10题
未完成题记待补，不把读答案计完成</x:v>
      </x:c>
      <x:c r="H25" s="41" t="str">
        <x:v>未开始</x:v>
      </x:c>
      <x:c r="I25" s="41" t="str">
        <x:v>未开始</x:v>
      </x:c>
      <x:c r="J25" s="41" t="str">
        <x:v>未开始</x:v>
      </x:c>
      <x:c r="K25" s="41" t="str">
        <x:v>未开始</x:v>
      </x:c>
      <x:c r="L25" s="35" t="str">
        <x:f>IF(COUNTIFS(H25:K25,"完成")=4,"完成",IF(COUNTIFS(H25:K25,"待补")&gt;0,"待补",IF(COUNTIFS(H25:K25,"未开始")=4,"未开始","进行中")))</x:f>
        <x:v>未开始</x:v>
      </x:c>
      <x:c r="M25" s="42"/>
      <x:c r="N25" s="17"/>
      <x:c r="O25" s="61" t="n">
        <x:v>706</x:v>
      </x:c>
    </x:row>
    <x:row r="26" ht="88.5" customHeight="1">
      <x:c r="A26" s="33" t="n">
        <x:v>16</x:v>
      </x:c>
      <x:c r="B26" s="34" t="n">
        <x:f>$B$4+A26-1</x:f>
        <x:v>46339</x:v>
      </x:c>
      <x:c r="C26" s="33" t="str">
        <x:v>跨组闭卷复做</x:v>
      </x:c>
      <x:c r="D26" s="23" t="str">
        <x:v>222分钟 10题
MI062、MI095、MI028、MI051
MI084、MI017、MI050
MI073、MI006、MI039
十组各1题；按完整题连续作答</x:v>
      </x:c>
      <x:c r="E26" s="23" t="str">
        <x:v>206分钟 10题
MA062、MA095、MA028、MA051
MA084、MA017、MA050
MA073、MA006、MA039
十组各1题；按完整题连续作答</x:v>
      </x:c>
      <x:c r="F26" s="23" t="str">
        <x:v>201分钟 10题
PE062、PE095、PE028、PE051
PE084、PE017、PE050
PE073、PE006、PE039
十组各1题；按完整题连续作答</x:v>
      </x:c>
      <x:c r="G26" s="23" t="str">
        <x:v>60分钟订正
先核最早错误；三科各记1个条件断点
红题替换次日同科已熟题，仍为10题
未完成题记待补，不把读答案计完成</x:v>
      </x:c>
      <x:c r="H26" s="41" t="str">
        <x:v>未开始</x:v>
      </x:c>
      <x:c r="I26" s="41" t="str">
        <x:v>未开始</x:v>
      </x:c>
      <x:c r="J26" s="41" t="str">
        <x:v>未开始</x:v>
      </x:c>
      <x:c r="K26" s="41" t="str">
        <x:v>未开始</x:v>
      </x:c>
      <x:c r="L26" s="35" t="str">
        <x:f>IF(COUNTIFS(H26:K26,"完成")=4,"完成",IF(COUNTIFS(H26:K26,"待补")&gt;0,"待补",IF(COUNTIFS(H26:K26,"未开始")=4,"未开始","进行中")))</x:f>
        <x:v>未开始</x:v>
      </x:c>
      <x:c r="M26" s="42"/>
      <x:c r="N26" s="17"/>
      <x:c r="O26" s="61" t="n">
        <x:v>689</x:v>
      </x:c>
    </x:row>
    <x:row r="27" ht="88.5" customHeight="1">
      <x:c r="A27" s="35" t="n">
        <x:v>17</x:v>
      </x:c>
      <x:c r="B27" s="36" t="n">
        <x:f>$B$4+A27-1</x:f>
        <x:v>46340</x:v>
      </x:c>
      <x:c r="C27" s="35" t="str">
        <x:v>跨组闭卷复做</x:v>
      </x:c>
      <x:c r="D27" s="15" t="str">
        <x:v>207分钟 10题
MI074、MI007、MI040、MI063
MI096、MI029、MI052
MI085、MI018、MI041
十组各1题；按完整题连续作答</x:v>
      </x:c>
      <x:c r="E27" s="15" t="str">
        <x:v>221分钟 10题
MA074、MA007、MA040、MA063
MA096、MA029、MA052
MA085、MA018、MA041
十组各1题；按完整题连续作答</x:v>
      </x:c>
      <x:c r="F27" s="15" t="str">
        <x:v>204分钟 10题
PE074、PE007、PE040、PE063
PE096、PE029、PE052
PE085、PE018、PE041
十组各1题；按完整题连续作答</x:v>
      </x:c>
      <x:c r="G27" s="15" t="str">
        <x:v>60分钟订正
先核最早错误；三科各记1个条件断点
红题替换次日同科已熟题，仍为10题
未完成题记待补，不把读答案计完成</x:v>
      </x:c>
      <x:c r="H27" s="41" t="str">
        <x:v>未开始</x:v>
      </x:c>
      <x:c r="I27" s="41" t="str">
        <x:v>未开始</x:v>
      </x:c>
      <x:c r="J27" s="41" t="str">
        <x:v>未开始</x:v>
      </x:c>
      <x:c r="K27" s="41" t="str">
        <x:v>未开始</x:v>
      </x:c>
      <x:c r="L27" s="35" t="str">
        <x:f>IF(COUNTIFS(H27:K27,"完成")=4,"完成",IF(COUNTIFS(H27:K27,"待补")&gt;0,"待补",IF(COUNTIFS(H27:K27,"未开始")=4,"未开始","进行中")))</x:f>
        <x:v>未开始</x:v>
      </x:c>
      <x:c r="M27" s="42"/>
      <x:c r="N27" s="17"/>
      <x:c r="O27" s="61" t="n">
        <x:v>692</x:v>
      </x:c>
    </x:row>
    <x:row r="28" ht="88.5" customHeight="1">
      <x:c r="A28" s="33" t="n">
        <x:v>18</x:v>
      </x:c>
      <x:c r="B28" s="34" t="n">
        <x:f>$B$4+A28-1</x:f>
        <x:v>46341</x:v>
      </x:c>
      <x:c r="C28" s="33" t="str">
        <x:v>跨组闭卷复做</x:v>
      </x:c>
      <x:c r="D28" s="23" t="str">
        <x:v>204分钟 10题
MI086、MI019、MI042、MI075
MI008、MI031、MI064
MI097、MI030、MI053
十组各1题；按完整题连续作答</x:v>
      </x:c>
      <x:c r="E28" s="23" t="str">
        <x:v>205分钟 10题
MA086、MA019、MA042、MA075
MA008、MA031、MA064
MA097、MA030、MA053
十组各1题；按完整题连续作答</x:v>
      </x:c>
      <x:c r="F28" s="23" t="str">
        <x:v>207分钟 10题
PE086、PE019、PE042、PE075
PE008、PE031、PE064
PE097、PE030、PE053
十组各1题；按完整题连续作答</x:v>
      </x:c>
      <x:c r="G28" s="23" t="str">
        <x:v>60分钟订正
先核最早错误；三科各记1个条件断点
红题替换次日同科已熟题，仍为10题
未完成题记待补，不把读答案计完成</x:v>
      </x:c>
      <x:c r="H28" s="41" t="str">
        <x:v>未开始</x:v>
      </x:c>
      <x:c r="I28" s="41" t="str">
        <x:v>未开始</x:v>
      </x:c>
      <x:c r="J28" s="41" t="str">
        <x:v>未开始</x:v>
      </x:c>
      <x:c r="K28" s="41" t="str">
        <x:v>未开始</x:v>
      </x:c>
      <x:c r="L28" s="35" t="str">
        <x:f>IF(COUNTIFS(H28:K28,"完成")=4,"完成",IF(COUNTIFS(H28:K28,"待补")&gt;0,"待补",IF(COUNTIFS(H28:K28,"未开始")=4,"未开始","进行中")))</x:f>
        <x:v>未开始</x:v>
      </x:c>
      <x:c r="M28" s="42"/>
      <x:c r="N28" s="17"/>
      <x:c r="O28" s="61" t="n">
        <x:v>676</x:v>
      </x:c>
    </x:row>
    <x:row r="29" ht="88.5" customHeight="1">
      <x:c r="A29" s="35" t="n">
        <x:v>19</x:v>
      </x:c>
      <x:c r="B29" s="36" t="n">
        <x:f>$B$4+A29-1</x:f>
        <x:v>46342</x:v>
      </x:c>
      <x:c r="C29" s="35" t="str">
        <x:v>跨组闭卷复做</x:v>
      </x:c>
      <x:c r="D29" s="15" t="str">
        <x:v>200分钟 10题
MI098、MI021、MI054、MI087
MI020、MI043、MI076
MI009、MI032、MI065
十组各1题；按完整题连续作答</x:v>
      </x:c>
      <x:c r="E29" s="15" t="str">
        <x:v>208分钟 10题
MA098、MA021、MA054、MA087
MA020、MA043、MA076
MA009、MA032、MA065
十组各1题；按完整题连续作答</x:v>
      </x:c>
      <x:c r="F29" s="15" t="str">
        <x:v>209分钟 10题
PE098、PE021、PE054、PE087
PE020、PE043、PE076
PE009、PE032、PE065
十组各1题；按完整题连续作答</x:v>
      </x:c>
      <x:c r="G29" s="15" t="str">
        <x:v>60分钟订正
先核最早错误；三科各记1个条件断点
红题替换次日同科已熟题，仍为10题
未完成题记待补，不把读答案计完成</x:v>
      </x:c>
      <x:c r="H29" s="41" t="str">
        <x:v>未开始</x:v>
      </x:c>
      <x:c r="I29" s="41" t="str">
        <x:v>未开始</x:v>
      </x:c>
      <x:c r="J29" s="41" t="str">
        <x:v>未开始</x:v>
      </x:c>
      <x:c r="K29" s="41" t="str">
        <x:v>未开始</x:v>
      </x:c>
      <x:c r="L29" s="35" t="str">
        <x:f>IF(COUNTIFS(H29:K29,"完成")=4,"完成",IF(COUNTIFS(H29:K29,"待补")&gt;0,"待补",IF(COUNTIFS(H29:K29,"未开始")=4,"未开始","进行中")))</x:f>
        <x:v>未开始</x:v>
      </x:c>
      <x:c r="M29" s="42"/>
      <x:c r="N29" s="17"/>
      <x:c r="O29" s="61" t="n">
        <x:v>677</x:v>
      </x:c>
    </x:row>
    <x:row r="30" ht="88.5" customHeight="1">
      <x:c r="A30" s="33" t="n">
        <x:v>20</x:v>
      </x:c>
      <x:c r="B30" s="34" t="n">
        <x:f>$B$4+A30-1</x:f>
        <x:v>46343</x:v>
      </x:c>
      <x:c r="C30" s="33" t="str">
        <x:v>跨组闭卷复做</x:v>
      </x:c>
      <x:c r="D30" s="23" t="str">
        <x:v>210分钟 10题
MI010、MI033、MI066、MI099
MI022、MI055、MI088
MI011、MI044、MI077
十组各1题；按完整题连续作答</x:v>
      </x:c>
      <x:c r="E30" s="23" t="str">
        <x:v>210分钟 10题
MA010、MA033、MA066、MA099
MA022、MA055、MA088
MA011、MA044、MA077
十组各1题；按完整题连续作答</x:v>
      </x:c>
      <x:c r="F30" s="23" t="str">
        <x:v>209分钟 10题
PE010、PE033、PE066、PE099
PE022、PE055、PE088
PE011、PE044、PE077
十组各1题；按完整题连续作答</x:v>
      </x:c>
      <x:c r="G30" s="23" t="str">
        <x:v>60分钟订正
先核最早错误；三科各记1个条件断点
红题替换次日同科已熟题，仍为10题
未完成题记待补，不把读答案计完成</x:v>
      </x:c>
      <x:c r="H30" s="41" t="str">
        <x:v>未开始</x:v>
      </x:c>
      <x:c r="I30" s="41" t="str">
        <x:v>未开始</x:v>
      </x:c>
      <x:c r="J30" s="41" t="str">
        <x:v>未开始</x:v>
      </x:c>
      <x:c r="K30" s="41" t="str">
        <x:v>未开始</x:v>
      </x:c>
      <x:c r="L30" s="35" t="str">
        <x:f>IF(COUNTIFS(H30:K30,"完成")=4,"完成",IF(COUNTIFS(H30:K30,"待补")&gt;0,"待补",IF(COUNTIFS(H30:K30,"未开始")=4,"未开始","进行中")))</x:f>
        <x:v>未开始</x:v>
      </x:c>
      <x:c r="M30" s="42"/>
      <x:c r="N30" s="17"/>
      <x:c r="O30" s="61" t="n">
        <x:v>689</x:v>
      </x:c>
    </x:row>
    <x:row r="31" ht="88.5" customHeight="1">
      <x:c r="A31" s="31" t="n">
        <x:v>21</x:v>
      </x:c>
      <x:c r="B31" s="32" t="n">
        <x:f>$B$4+A31-1</x:f>
        <x:v>46344</x:v>
      </x:c>
      <x:c r="C31" s="31" t="str">
        <x:v>条件与论证复核</x:v>
      </x:c>
      <x:c r="D31" s="19" t="str">
        <x:v>211分钟 10题
MI025、MI051、MI087、MI013
MI049、MI075、MI001
MI037、MI063、MI099
十组各1题；按完整题连续作答</x:v>
      </x:c>
      <x:c r="E31" s="19" t="str">
        <x:v>211分钟 10题
MA025、MA051、MA087、MA013
MA049、MA075、MA001
MA037、MA063、MA099
十组各1题；按完整题连续作答</x:v>
      </x:c>
      <x:c r="F31" s="19" t="str">
        <x:v>202分钟 10题
PE025、PE051、PE087、PE013
PE049、PE075、PE001
PE037、PE063、PE099
十组各1题；按完整题连续作答</x:v>
      </x:c>
      <x:c r="G31" s="19" t="str">
        <x:v>60分钟订正
先核最早错误；三科各记1个条件断点
红题替换次日同科已熟题，仍为10题
未完成题记待补，不把读答案计完成</x:v>
      </x:c>
      <x:c r="H31" s="39" t="str">
        <x:v>未开始</x:v>
      </x:c>
      <x:c r="I31" s="39" t="str">
        <x:v>未开始</x:v>
      </x:c>
      <x:c r="J31" s="39" t="str">
        <x:v>未开始</x:v>
      </x:c>
      <x:c r="K31" s="39" t="str">
        <x:v>未开始</x:v>
      </x:c>
      <x:c r="L31" s="31" t="str">
        <x:f>IF(COUNTIFS(H31:K31,"完成")=4,"完成",IF(COUNTIFS(H31:K31,"待补")&gt;0,"待补",IF(COUNTIFS(H31:K31,"未开始")=4,"未开始","进行中")))</x:f>
        <x:v>未开始</x:v>
      </x:c>
      <x:c r="M31" s="40"/>
      <x:c r="N31" s="21"/>
      <x:c r="O31" s="61" t="n">
        <x:v>684</x:v>
      </x:c>
    </x:row>
    <x:row r="32" ht="88.5" customHeight="1">
      <x:c r="A32" s="33" t="n">
        <x:v>22</x:v>
      </x:c>
      <x:c r="B32" s="34" t="n">
        <x:f>$B$4+A32-1</x:f>
        <x:v>46345</x:v>
      </x:c>
      <x:c r="C32" s="33" t="str">
        <x:v>条件与论证复核</x:v>
      </x:c>
      <x:c r="D32" s="23" t="str">
        <x:v>200分钟 10题
MI038、MI064、MI100、MI026
MI052、MI088、MI014
MI050、MI076、MI002
十组各1题；按完整题连续作答</x:v>
      </x:c>
      <x:c r="E32" s="23" t="str">
        <x:v>217分钟 10题
MA038、MA064、MA100、MA026
MA052、MA088、MA014
MA050、MA076、MA002
十组各1题；按完整题连续作答</x:v>
      </x:c>
      <x:c r="F32" s="23" t="str">
        <x:v>201分钟 10题
PE038、PE064、PE100、PE026
PE052、PE088、PE014
PE050、PE076、PE002
十组各1题；按完整题连续作答</x:v>
      </x:c>
      <x:c r="G32" s="23" t="str">
        <x:v>60分钟订正
先核最早错误；三科各记1个条件断点
红题替换次日同科已熟题，仍为10题
未完成题记待补，不把读答案计完成</x:v>
      </x:c>
      <x:c r="H32" s="41" t="str">
        <x:v>未开始</x:v>
      </x:c>
      <x:c r="I32" s="41" t="str">
        <x:v>未开始</x:v>
      </x:c>
      <x:c r="J32" s="41" t="str">
        <x:v>未开始</x:v>
      </x:c>
      <x:c r="K32" s="41" t="str">
        <x:v>未开始</x:v>
      </x:c>
      <x:c r="L32" s="35" t="str">
        <x:f>IF(COUNTIFS(H32:K32,"完成")=4,"完成",IF(COUNTIFS(H32:K32,"待补")&gt;0,"待补",IF(COUNTIFS(H32:K32,"未开始")=4,"未开始","进行中")))</x:f>
        <x:v>未开始</x:v>
      </x:c>
      <x:c r="M32" s="42"/>
      <x:c r="N32" s="17"/>
      <x:c r="O32" s="61" t="n">
        <x:v>678</x:v>
      </x:c>
    </x:row>
    <x:row r="33" ht="88.5" customHeight="1">
      <x:c r="A33" s="35" t="n">
        <x:v>23</x:v>
      </x:c>
      <x:c r="B33" s="36" t="n">
        <x:f>$B$4+A33-1</x:f>
        <x:v>46346</x:v>
      </x:c>
      <x:c r="C33" s="35" t="str">
        <x:v>条件与论证复核</x:v>
      </x:c>
      <x:c r="D33" s="15" t="str">
        <x:v>214分钟 10题
MI041、MI077、MI003、MI039
MI065、MI091、MI027
MI053、MI089、MI015
十组各1题；按完整题连续作答</x:v>
      </x:c>
      <x:c r="E33" s="15" t="str">
        <x:v>228分钟 10题
MA041、MA077、MA003、MA039
MA065、MA091、MA027
MA053、MA089、MA015
十组各1题；按完整题连续作答</x:v>
      </x:c>
      <x:c r="F33" s="15" t="str">
        <x:v>212分钟 10题
PE041、PE077、PE003、PE039
PE065、PE091、PE027
PE053、PE089、PE015
十组各1题；按完整题连续作答</x:v>
      </x:c>
      <x:c r="G33" s="15" t="str">
        <x:v>60分钟订正
先核最早错误；三科各记1个条件断点
红题替换次日同科已熟题，仍为10题
未完成题记待补，不把读答案计完成</x:v>
      </x:c>
      <x:c r="H33" s="41" t="str">
        <x:v>未开始</x:v>
      </x:c>
      <x:c r="I33" s="41" t="str">
        <x:v>未开始</x:v>
      </x:c>
      <x:c r="J33" s="41" t="str">
        <x:v>未开始</x:v>
      </x:c>
      <x:c r="K33" s="41" t="str">
        <x:v>未开始</x:v>
      </x:c>
      <x:c r="L33" s="35" t="str">
        <x:f>IF(COUNTIFS(H33:K33,"完成")=4,"完成",IF(COUNTIFS(H33:K33,"待补")&gt;0,"待补",IF(COUNTIFS(H33:K33,"未开始")=4,"未开始","进行中")))</x:f>
        <x:v>未开始</x:v>
      </x:c>
      <x:c r="M33" s="42"/>
      <x:c r="N33" s="17"/>
      <x:c r="O33" s="61" t="n">
        <x:v>714</x:v>
      </x:c>
    </x:row>
    <x:row r="34" ht="88.5" customHeight="1">
      <x:c r="A34" s="33" t="n">
        <x:v>24</x:v>
      </x:c>
      <x:c r="B34" s="34" t="n">
        <x:f>$B$4+A34-1</x:f>
        <x:v>46347</x:v>
      </x:c>
      <x:c r="C34" s="33" t="str">
        <x:v>条件与论证复核</x:v>
      </x:c>
      <x:c r="D34" s="23" t="str">
        <x:v>187分钟 10题
MI054、MI090、MI016、MI042
MI078、MI004、MI040
MI066、MI092、MI028
十组各1题；按完整题连续作答</x:v>
      </x:c>
      <x:c r="E34" s="23" t="str">
        <x:v>210分钟 10题
MA054、MA090、MA016、MA042
MA078、MA004、MA040
MA066、MA092、MA028
十组各1题；按完整题连续作答</x:v>
      </x:c>
      <x:c r="F34" s="23" t="str">
        <x:v>206分钟 10题
PE054、PE090、PE016、PE042
PE078、PE004、PE040
PE066、PE092、PE028
十组各1题；按完整题连续作答</x:v>
      </x:c>
      <x:c r="G34" s="23" t="str">
        <x:v>60分钟订正
先核最早错误；三科各记1个条件断点
红题替换次日同科已熟题，仍为10题
未完成题记待补，不把读答案计完成</x:v>
      </x:c>
      <x:c r="H34" s="41" t="str">
        <x:v>未开始</x:v>
      </x:c>
      <x:c r="I34" s="41" t="str">
        <x:v>未开始</x:v>
      </x:c>
      <x:c r="J34" s="41" t="str">
        <x:v>未开始</x:v>
      </x:c>
      <x:c r="K34" s="41" t="str">
        <x:v>未开始</x:v>
      </x:c>
      <x:c r="L34" s="35" t="str">
        <x:f>IF(COUNTIFS(H34:K34,"完成")=4,"完成",IF(COUNTIFS(H34:K34,"待补")&gt;0,"待补",IF(COUNTIFS(H34:K34,"未开始")=4,"未开始","进行中")))</x:f>
        <x:v>未开始</x:v>
      </x:c>
      <x:c r="M34" s="42"/>
      <x:c r="N34" s="17"/>
      <x:c r="O34" s="61" t="n">
        <x:v>663</x:v>
      </x:c>
    </x:row>
    <x:row r="35" ht="88.5" customHeight="1">
      <x:c r="A35" s="35" t="n">
        <x:v>25</x:v>
      </x:c>
      <x:c r="B35" s="36" t="n">
        <x:f>$B$4+A35-1</x:f>
        <x:v>46348</x:v>
      </x:c>
      <x:c r="C35" s="35" t="str">
        <x:v>条件与论证复核</x:v>
      </x:c>
      <x:c r="D35" s="15" t="str">
        <x:v>204分钟 10题
MI067、MI093、MI029、MI055
MI081、MI017、MI043
MI079、MI005、MI031
十组各1题；按完整题连续作答</x:v>
      </x:c>
      <x:c r="E35" s="15" t="str">
        <x:v>210分钟 10题
MA067、MA093、MA029、MA055
MA081、MA017、MA043
MA079、MA005、MA031
十组各1题；按完整题连续作答</x:v>
      </x:c>
      <x:c r="F35" s="15" t="str">
        <x:v>200分钟 10题
PE067、PE093、PE029、PE055
PE081、PE017、PE043
PE079、PE005、PE031
十组各1题；按完整题连续作答</x:v>
      </x:c>
      <x:c r="G35" s="15" t="str">
        <x:v>60分钟订正
先核最早错误；三科各记1个条件断点
红题替换次日同科已熟题，仍为10题
未完成题记待补，不把读答案计完成</x:v>
      </x:c>
      <x:c r="H35" s="41" t="str">
        <x:v>未开始</x:v>
      </x:c>
      <x:c r="I35" s="41" t="str">
        <x:v>未开始</x:v>
      </x:c>
      <x:c r="J35" s="41" t="str">
        <x:v>未开始</x:v>
      </x:c>
      <x:c r="K35" s="41" t="str">
        <x:v>未开始</x:v>
      </x:c>
      <x:c r="L35" s="35" t="str">
        <x:f>IF(COUNTIFS(H35:K35,"完成")=4,"完成",IF(COUNTIFS(H35:K35,"待补")&gt;0,"待补",IF(COUNTIFS(H35:K35,"未开始")=4,"未开始","进行中")))</x:f>
        <x:v>未开始</x:v>
      </x:c>
      <x:c r="M35" s="42"/>
      <x:c r="N35" s="17"/>
      <x:c r="O35" s="61" t="n">
        <x:v>674</x:v>
      </x:c>
    </x:row>
    <x:row r="36" ht="88.5" customHeight="1">
      <x:c r="A36" s="33" t="n">
        <x:v>26</x:v>
      </x:c>
      <x:c r="B36" s="34" t="n">
        <x:f>$B$4+A36-1</x:f>
        <x:v>46349</x:v>
      </x:c>
      <x:c r="C36" s="33" t="str">
        <x:v>条件与论证复核</x:v>
      </x:c>
      <x:c r="D36" s="23" t="str">
        <x:v>199分钟 10题
MI080、MI006、MI032、MI068
MI094、MI030、MI056
MI082、MI018、MI044
十组各1题；按完整题连续作答</x:v>
      </x:c>
      <x:c r="E36" s="23" t="str">
        <x:v>203分钟 10题
MA080、MA006、MA032、MA068
MA094、MA030、MA056
MA082、MA018、MA044
十组各1题；按完整题连续作答</x:v>
      </x:c>
      <x:c r="F36" s="23" t="str">
        <x:v>213分钟 10题
PE080、PE006、PE032、PE068
PE094、PE030、PE056
PE082、PE018、PE044
十组各1题；按完整题连续作答</x:v>
      </x:c>
      <x:c r="G36" s="23" t="str">
        <x:v>60分钟订正
先核最早错误；三科各记1个条件断点
红题替换次日同科已熟题，仍为10题
未完成题记待补，不把读答案计完成</x:v>
      </x:c>
      <x:c r="H36" s="41" t="str">
        <x:v>未开始</x:v>
      </x:c>
      <x:c r="I36" s="41" t="str">
        <x:v>未开始</x:v>
      </x:c>
      <x:c r="J36" s="41" t="str">
        <x:v>未开始</x:v>
      </x:c>
      <x:c r="K36" s="41" t="str">
        <x:v>未开始</x:v>
      </x:c>
      <x:c r="L36" s="35" t="str">
        <x:f>IF(COUNTIFS(H36:K36,"完成")=4,"完成",IF(COUNTIFS(H36:K36,"待补")&gt;0,"待补",IF(COUNTIFS(H36:K36,"未开始")=4,"未开始","进行中")))</x:f>
        <x:v>未开始</x:v>
      </x:c>
      <x:c r="M36" s="42"/>
      <x:c r="N36" s="17"/>
      <x:c r="O36" s="61" t="n">
        <x:v>675</x:v>
      </x:c>
    </x:row>
    <x:row r="37" ht="88.5" customHeight="1">
      <x:c r="A37" s="35" t="n">
        <x:v>27</x:v>
      </x:c>
      <x:c r="B37" s="36" t="n">
        <x:f>$B$4+A37-1</x:f>
        <x:v>46350</x:v>
      </x:c>
      <x:c r="C37" s="35" t="str">
        <x:v>条件与论证复核</x:v>
      </x:c>
      <x:c r="D37" s="15" t="str">
        <x:v>227分钟 10题
MI083、MI019、MI045、MI071
MI007、MI033、MI069
MI095、MI021、MI057
十组各1题；按完整题连续作答</x:v>
      </x:c>
      <x:c r="E37" s="15" t="str">
        <x:v>199分钟 10题
MA083、MA019、MA045、MA071
MA007、MA033、MA069
MA095、MA021、MA057
十组各1题；按完整题连续作答</x:v>
      </x:c>
      <x:c r="F37" s="15" t="str">
        <x:v>201分钟 10题
PE083、PE019、PE045、PE071
PE007、PE033、PE069
PE095、PE021、PE057
十组各1题；按完整题连续作答</x:v>
      </x:c>
      <x:c r="G37" s="15" t="str">
        <x:v>60分钟订正
先核最早错误；三科各记1个条件断点
红题替换次日同科已熟题，仍为10题
未完成题记待补，不把读答案计完成</x:v>
      </x:c>
      <x:c r="H37" s="41" t="str">
        <x:v>未开始</x:v>
      </x:c>
      <x:c r="I37" s="41" t="str">
        <x:v>未开始</x:v>
      </x:c>
      <x:c r="J37" s="41" t="str">
        <x:v>未开始</x:v>
      </x:c>
      <x:c r="K37" s="41" t="str">
        <x:v>未开始</x:v>
      </x:c>
      <x:c r="L37" s="35" t="str">
        <x:f>IF(COUNTIFS(H37:K37,"完成")=4,"完成",IF(COUNTIFS(H37:K37,"待补")&gt;0,"待补",IF(COUNTIFS(H37:K37,"未开始")=4,"未开始","进行中")))</x:f>
        <x:v>未开始</x:v>
      </x:c>
      <x:c r="M37" s="42"/>
      <x:c r="N37" s="17"/>
      <x:c r="O37" s="61" t="n">
        <x:v>687</x:v>
      </x:c>
    </x:row>
    <x:row r="38" ht="88.5" customHeight="1">
      <x:c r="A38" s="33" t="n">
        <x:v>28</x:v>
      </x:c>
      <x:c r="B38" s="34" t="n">
        <x:f>$B$4+A38-1</x:f>
        <x:v>46351</x:v>
      </x:c>
      <x:c r="C38" s="33" t="str">
        <x:v>条件与论证复核</x:v>
      </x:c>
      <x:c r="D38" s="23" t="str">
        <x:v>205分钟 10题
MI096、MI022、MI058、MI084
MI020、MI046、MI072
MI008、MI034、MI070
十组各1题；按完整题连续作答</x:v>
      </x:c>
      <x:c r="E38" s="23" t="str">
        <x:v>203分钟 10题
MA096、MA022、MA058、MA084
MA020、MA046、MA072
MA008、MA034、MA070
十组各1题；按完整题连续作答</x:v>
      </x:c>
      <x:c r="F38" s="23" t="str">
        <x:v>201分钟 10题
PE096、PE022、PE058、PE084
PE020、PE046、PE072
PE008、PE034、PE070
十组各1题；按完整题连续作答</x:v>
      </x:c>
      <x:c r="G38" s="23" t="str">
        <x:v>60分钟订正
先核最早错误；三科各记1个条件断点
红题替换次日同科已熟题，仍为10题
未完成题记待补，不把读答案计完成</x:v>
      </x:c>
      <x:c r="H38" s="41" t="str">
        <x:v>未开始</x:v>
      </x:c>
      <x:c r="I38" s="41" t="str">
        <x:v>未开始</x:v>
      </x:c>
      <x:c r="J38" s="41" t="str">
        <x:v>未开始</x:v>
      </x:c>
      <x:c r="K38" s="41" t="str">
        <x:v>未开始</x:v>
      </x:c>
      <x:c r="L38" s="35" t="str">
        <x:f>IF(COUNTIFS(H38:K38,"完成")=4,"完成",IF(COUNTIFS(H38:K38,"待补")&gt;0,"待补",IF(COUNTIFS(H38:K38,"未开始")=4,"未开始","进行中")))</x:f>
        <x:v>未开始</x:v>
      </x:c>
      <x:c r="M38" s="42"/>
      <x:c r="N38" s="17"/>
      <x:c r="O38" s="61" t="n">
        <x:v>669</x:v>
      </x:c>
    </x:row>
    <x:row r="39" ht="88.5" customHeight="1">
      <x:c r="A39" s="35" t="n">
        <x:v>29</x:v>
      </x:c>
      <x:c r="B39" s="36" t="n">
        <x:f>$B$4+A39-1</x:f>
        <x:v>46352</x:v>
      </x:c>
      <x:c r="C39" s="35" t="str">
        <x:v>条件与论证复核</x:v>
      </x:c>
      <x:c r="D39" s="15" t="str">
        <x:v>209分钟 10题
MI009、MI035、MI061、MI097
MI023、MI059、MI085
MI011、MI047、MI073
十组各1题；按完整题连续作答</x:v>
      </x:c>
      <x:c r="E39" s="15" t="str">
        <x:v>222分钟 10题
MA009、MA035、MA061、MA097
MA023、MA059、MA085
MA011、MA047、MA073
十组各1题；按完整题连续作答</x:v>
      </x:c>
      <x:c r="F39" s="15" t="str">
        <x:v>199分钟 10题
PE009、PE035、PE061、PE097
PE023、PE059、PE085
PE011、PE047、PE073
十组各1题；按完整题连续作答</x:v>
      </x:c>
      <x:c r="G39" s="15" t="str">
        <x:v>60分钟订正
先核最早错误；三科各记1个条件断点
红题替换次日同科已熟题，仍为10题
未完成题记待补，不把读答案计完成</x:v>
      </x:c>
      <x:c r="H39" s="41" t="str">
        <x:v>未开始</x:v>
      </x:c>
      <x:c r="I39" s="41" t="str">
        <x:v>未开始</x:v>
      </x:c>
      <x:c r="J39" s="41" t="str">
        <x:v>未开始</x:v>
      </x:c>
      <x:c r="K39" s="41" t="str">
        <x:v>未开始</x:v>
      </x:c>
      <x:c r="L39" s="35" t="str">
        <x:f>IF(COUNTIFS(H39:K39,"完成")=4,"完成",IF(COUNTIFS(H39:K39,"待补")&gt;0,"待补",IF(COUNTIFS(H39:K39,"未开始")=4,"未开始","进行中")))</x:f>
        <x:v>未开始</x:v>
      </x:c>
      <x:c r="M39" s="42"/>
      <x:c r="N39" s="17"/>
      <x:c r="O39" s="61" t="n">
        <x:v>690</x:v>
      </x:c>
    </x:row>
    <x:row r="40" ht="88.5" customHeight="1">
      <x:c r="A40" s="33" t="n">
        <x:v>30</x:v>
      </x:c>
      <x:c r="B40" s="34" t="n">
        <x:f>$B$4+A40-1</x:f>
        <x:v>46353</x:v>
      </x:c>
      <x:c r="C40" s="33" t="str">
        <x:v>条件与论证复核</x:v>
      </x:c>
      <x:c r="D40" s="23" t="str">
        <x:v>212分钟 10题
MI012、MI048、MI074、MI010
MI036、MI062、MI098
MI024、MI060、MI086
十组各1题；按完整题连续作答</x:v>
      </x:c>
      <x:c r="E40" s="23" t="str">
        <x:v>196分钟 10题
MA012、MA048、MA074、MA010
MA036、MA062、MA098
MA024、MA060、MA086
十组各1题；按完整题连续作答</x:v>
      </x:c>
      <x:c r="F40" s="23" t="str">
        <x:v>210分钟 10题
PE012、PE048、PE074、PE010
PE036、PE062、PE098
PE024、PE060、PE086
十组各1题；按完整题连续作答</x:v>
      </x:c>
      <x:c r="G40" s="23" t="str">
        <x:v>60分钟订正
先核最早错误；三科各记1个条件断点
红题替换次日同科已熟题，仍为10题
未完成题记待补，不把读答案计完成</x:v>
      </x:c>
      <x:c r="H40" s="41" t="str">
        <x:v>未开始</x:v>
      </x:c>
      <x:c r="I40" s="41" t="str">
        <x:v>未开始</x:v>
      </x:c>
      <x:c r="J40" s="41" t="str">
        <x:v>未开始</x:v>
      </x:c>
      <x:c r="K40" s="41" t="str">
        <x:v>未开始</x:v>
      </x:c>
      <x:c r="L40" s="35" t="str">
        <x:f>IF(COUNTIFS(H40:K40,"完成")=4,"完成",IF(COUNTIFS(H40:K40,"待补")&gt;0,"待补",IF(COUNTIFS(H40:K40,"未开始")=4,"未开始","进行中")))</x:f>
        <x:v>未开始</x:v>
      </x:c>
      <x:c r="M40" s="42"/>
      <x:c r="N40" s="17"/>
      <x:c r="O40" s="61" t="n">
        <x:v>678</x:v>
      </x:c>
    </x:row>
    <x:row r="41" ht="88.5" customHeight="1">
      <x:c r="A41" s="35" t="n">
        <x:v>31</x:v>
      </x:c>
      <x:c r="B41" s="36" t="n">
        <x:f>$B$4+A41-1</x:f>
        <x:v>46354</x:v>
      </x:c>
      <x:c r="C41" s="35" t="str">
        <x:v>限时混合训练</x:v>
      </x:c>
      <x:c r="D41" s="15" t="str">
        <x:v>198分钟 10题
MI040、MI069、MI098、MI027
MI056、MI085、MI014
MI043、MI072、MI001
十组各1题；按完整题连续作答</x:v>
      </x:c>
      <x:c r="E41" s="15" t="str">
        <x:v>209分钟 10题
MA040、MA069、MA098、MA027
MA056、MA085、MA014
MA043、MA072、MA001
十组各1题；按完整题连续作答</x:v>
      </x:c>
      <x:c r="F41" s="15" t="str">
        <x:v>216分钟 10题
PE040、PE069、PE098、PE027
PE056、PE085、PE014
PE043、PE072、PE001
十组各1题；按完整题连续作答</x:v>
      </x:c>
      <x:c r="G41" s="15" t="str">
        <x:v>60分钟订正
先核最早错误；三科各记1个条件断点
红题替换次日同科已熟题，仍为10题
未完成题记待补，不把读答案计完成</x:v>
      </x:c>
      <x:c r="H41" s="41" t="str">
        <x:v>未开始</x:v>
      </x:c>
      <x:c r="I41" s="41" t="str">
        <x:v>未开始</x:v>
      </x:c>
      <x:c r="J41" s="41" t="str">
        <x:v>未开始</x:v>
      </x:c>
      <x:c r="K41" s="41" t="str">
        <x:v>未开始</x:v>
      </x:c>
      <x:c r="L41" s="35" t="str">
        <x:f>IF(COUNTIFS(H41:K41,"完成")=4,"完成",IF(COUNTIFS(H41:K41,"待补")&gt;0,"待补",IF(COUNTIFS(H41:K41,"未开始")=4,"未开始","进行中")))</x:f>
        <x:v>未开始</x:v>
      </x:c>
      <x:c r="M41" s="42"/>
      <x:c r="N41" s="17"/>
      <x:c r="O41" s="61" t="n">
        <x:v>683</x:v>
      </x:c>
    </x:row>
    <x:row r="42" ht="88.5" customHeight="1">
      <x:c r="A42" s="33" t="n">
        <x:v>32</x:v>
      </x:c>
      <x:c r="B42" s="34" t="n">
        <x:f>$B$4+A42-1</x:f>
        <x:v>46355</x:v>
      </x:c>
      <x:c r="C42" s="33" t="str">
        <x:v>限时混合训练</x:v>
      </x:c>
      <x:c r="D42" s="23" t="str">
        <x:v>201分钟 10题
MI044、MI073、MI002、MI031
MI070、MI099、MI028
MI057、MI086、MI015
十组各1题；按完整题连续作答</x:v>
      </x:c>
      <x:c r="E42" s="23" t="str">
        <x:v>218分钟 10题
MA044、MA073、MA002、MA031
MA070、MA099、MA028
MA057、MA086、MA015
十组各1题；按完整题连续作答</x:v>
      </x:c>
      <x:c r="F42" s="23" t="str">
        <x:v>210分钟 10题
PE044、PE073、PE002、PE031
PE070、PE099、PE028
PE057、PE086、PE015
十组各1题；按完整题连续作答</x:v>
      </x:c>
      <x:c r="G42" s="23" t="str">
        <x:v>60分钟订正
先核最早错误；三科各记1个条件断点
红题替换次日同科已熟题，仍为10题
未完成题记待补，不把读答案计完成</x:v>
      </x:c>
      <x:c r="H42" s="41" t="str">
        <x:v>未开始</x:v>
      </x:c>
      <x:c r="I42" s="41" t="str">
        <x:v>未开始</x:v>
      </x:c>
      <x:c r="J42" s="41" t="str">
        <x:v>未开始</x:v>
      </x:c>
      <x:c r="K42" s="41" t="str">
        <x:v>未开始</x:v>
      </x:c>
      <x:c r="L42" s="35" t="str">
        <x:f>IF(COUNTIFS(H42:K42,"完成")=4,"完成",IF(COUNTIFS(H42:K42,"待补")&gt;0,"待补",IF(COUNTIFS(H42:K42,"未开始")=4,"未开始","进行中")))</x:f>
        <x:v>未开始</x:v>
      </x:c>
      <x:c r="M42" s="42"/>
      <x:c r="N42" s="17"/>
      <x:c r="O42" s="61" t="n">
        <x:v>689</x:v>
      </x:c>
    </x:row>
    <x:row r="43" ht="88.5" customHeight="1">
      <x:c r="A43" s="35" t="n">
        <x:v>33</x:v>
      </x:c>
      <x:c r="B43" s="36" t="n">
        <x:f>$B$4+A43-1</x:f>
        <x:v>46356</x:v>
      </x:c>
      <x:c r="C43" s="35" t="str">
        <x:v>限时混合训练</x:v>
      </x:c>
      <x:c r="D43" s="15" t="str">
        <x:v>200分钟 10题
MI058、MI087、MI016、MI045
MI074、MI003、MI032
MI061、MI100、MI029
十组各1题；按完整题连续作答</x:v>
      </x:c>
      <x:c r="E43" s="15" t="str">
        <x:v>228分钟 10题
MA058、MA087、MA016、MA045
MA074、MA003、MA032
MA061、MA100、MA029
十组各1题；按完整题连续作答</x:v>
      </x:c>
      <x:c r="F43" s="15" t="str">
        <x:v>212分钟 10题
PE058、PE087、PE016、PE045
PE074、PE003、PE032
PE061、PE100、PE029
十组各1题；按完整题连续作答</x:v>
      </x:c>
      <x:c r="G43" s="15" t="str">
        <x:v>60分钟订正
先核最早错误；三科各记1个条件断点
红题替换次日同科已熟题，仍为10题
未完成题记待补，不把读答案计完成</x:v>
      </x:c>
      <x:c r="H43" s="41" t="str">
        <x:v>未开始</x:v>
      </x:c>
      <x:c r="I43" s="41" t="str">
        <x:v>未开始</x:v>
      </x:c>
      <x:c r="J43" s="41" t="str">
        <x:v>未开始</x:v>
      </x:c>
      <x:c r="K43" s="41" t="str">
        <x:v>未开始</x:v>
      </x:c>
      <x:c r="L43" s="35" t="str">
        <x:f>IF(COUNTIFS(H43:K43,"完成")=4,"完成",IF(COUNTIFS(H43:K43,"待补")&gt;0,"待补",IF(COUNTIFS(H43:K43,"未开始")=4,"未开始","进行中")))</x:f>
        <x:v>未开始</x:v>
      </x:c>
      <x:c r="M43" s="42"/>
      <x:c r="N43" s="17"/>
      <x:c r="O43" s="61" t="n">
        <x:v>700</x:v>
      </x:c>
    </x:row>
    <x:row r="44" ht="88.5" customHeight="1">
      <x:c r="A44" s="33" t="n">
        <x:v>34</x:v>
      </x:c>
      <x:c r="B44" s="34" t="n">
        <x:f>$B$4+A44-1</x:f>
        <x:v>46357</x:v>
      </x:c>
      <x:c r="C44" s="33" t="str">
        <x:v>限时混合训练</x:v>
      </x:c>
      <x:c r="D44" s="23" t="str">
        <x:v>192分钟 10题
MI062、MI091、MI030、MI059
MI088、MI017、MI046
MI075、MI004、MI033
十组各1题；按完整题连续作答</x:v>
      </x:c>
      <x:c r="E44" s="23" t="str">
        <x:v>204分钟 10题
MA062、MA091、MA030、MA059
MA088、MA017、MA046
MA075、MA004、MA033
十组各1题；按完整题连续作答</x:v>
      </x:c>
      <x:c r="F44" s="23" t="str">
        <x:v>199分钟 10题
PE062、PE091、PE030、PE059
PE088、PE017、PE046
PE075、PE004、PE033
十组各1题；按完整题连续作答</x:v>
      </x:c>
      <x:c r="G44" s="23" t="str">
        <x:v>60分钟订正
先核最早错误；三科各记1个条件断点
红题替换次日同科已熟题，仍为10题
未完成题记待补，不把读答案计完成</x:v>
      </x:c>
      <x:c r="H44" s="41" t="str">
        <x:v>未开始</x:v>
      </x:c>
      <x:c r="I44" s="41" t="str">
        <x:v>未开始</x:v>
      </x:c>
      <x:c r="J44" s="41" t="str">
        <x:v>未开始</x:v>
      </x:c>
      <x:c r="K44" s="41" t="str">
        <x:v>未开始</x:v>
      </x:c>
      <x:c r="L44" s="35" t="str">
        <x:f>IF(COUNTIFS(H44:K44,"完成")=4,"完成",IF(COUNTIFS(H44:K44,"待补")&gt;0,"待补",IF(COUNTIFS(H44:K44,"未开始")=4,"未开始","进行中")))</x:f>
        <x:v>未开始</x:v>
      </x:c>
      <x:c r="M44" s="42"/>
      <x:c r="N44" s="17"/>
      <x:c r="O44" s="61" t="n">
        <x:v>655</x:v>
      </x:c>
    </x:row>
    <x:row r="45" ht="88.5" customHeight="1">
      <x:c r="A45" s="35" t="n">
        <x:v>35</x:v>
      </x:c>
      <x:c r="B45" s="36" t="n">
        <x:f>$B$4+A45-1</x:f>
        <x:v>46358</x:v>
      </x:c>
      <x:c r="C45" s="35" t="str">
        <x:v>限时混合训练</x:v>
      </x:c>
      <x:c r="D45" s="15" t="str">
        <x:v>213分钟 10题
MI076、MI005、MI034、MI063
MI092、MI021、MI060
MI089、MI018、MI047
十组各1题；按完整题连续作答</x:v>
      </x:c>
      <x:c r="E45" s="15" t="str">
        <x:v>196分钟 10题
MA076、MA005、MA034、MA063
MA092、MA021、MA060
MA089、MA018、MA047
十组各1题；按完整题连续作答</x:v>
      </x:c>
      <x:c r="F45" s="15" t="str">
        <x:v>193分钟 10题
PE076、PE005、PE034、PE063
PE092、PE021、PE060
PE089、PE018、PE047
十组各1题；按完整题连续作答</x:v>
      </x:c>
      <x:c r="G45" s="15" t="str">
        <x:v>60分钟订正
先核最早错误；三科各记1个条件断点
红题替换次日同科已熟题，仍为10题
未完成题记待补，不把读答案计完成</x:v>
      </x:c>
      <x:c r="H45" s="41" t="str">
        <x:v>未开始</x:v>
      </x:c>
      <x:c r="I45" s="41" t="str">
        <x:v>未开始</x:v>
      </x:c>
      <x:c r="J45" s="41" t="str">
        <x:v>未开始</x:v>
      </x:c>
      <x:c r="K45" s="41" t="str">
        <x:v>未开始</x:v>
      </x:c>
      <x:c r="L45" s="35" t="str">
        <x:f>IF(COUNTIFS(H45:K45,"完成")=4,"完成",IF(COUNTIFS(H45:K45,"待补")&gt;0,"待补",IF(COUNTIFS(H45:K45,"未开始")=4,"未开始","进行中")))</x:f>
        <x:v>未开始</x:v>
      </x:c>
      <x:c r="M45" s="42"/>
      <x:c r="N45" s="17"/>
      <x:c r="O45" s="61" t="n">
        <x:v>662</x:v>
      </x:c>
    </x:row>
    <x:row r="46" ht="88.5" customHeight="1">
      <x:c r="A46" s="37" t="n">
        <x:v>36</x:v>
      </x:c>
      <x:c r="B46" s="38" t="n">
        <x:f>$B$4+A46-1</x:f>
        <x:v>46359</x:v>
      </x:c>
      <x:c r="C46" s="37" t="str">
        <x:v>限时混合训练</x:v>
      </x:c>
      <x:c r="D46" s="25" t="str">
        <x:v>204分钟 10题
MI090、MI019、MI048、MI077
MI006、MI035、MI064
MI093、MI022、MI051
十组各1题；按完整题连续作答</x:v>
      </x:c>
      <x:c r="E46" s="25" t="str">
        <x:v>218分钟 10题
MA090、MA019、MA048、MA077
MA006、MA035、MA064
MA093、MA022、MA051
十组各1题；按完整题连续作答</x:v>
      </x:c>
      <x:c r="F46" s="25" t="str">
        <x:v>197分钟 10题
PE090、PE019、PE048、PE077
PE006、PE035、PE064
PE093、PE022、PE051
十组各1题；按完整题连续作答</x:v>
      </x:c>
      <x:c r="G46" s="25" t="str">
        <x:v>60分钟订正
先核最早错误；三科各记1个条件断点
红题替换次日同科已熟题，仍为10题
未完成题记待补，不把读答案计完成</x:v>
      </x:c>
      <x:c r="H46" s="39" t="str">
        <x:v>未开始</x:v>
      </x:c>
      <x:c r="I46" s="39" t="str">
        <x:v>未开始</x:v>
      </x:c>
      <x:c r="J46" s="39" t="str">
        <x:v>未开始</x:v>
      </x:c>
      <x:c r="K46" s="39" t="str">
        <x:v>未开始</x:v>
      </x:c>
      <x:c r="L46" s="31" t="str">
        <x:f>IF(COUNTIFS(H46:K46,"完成")=4,"完成",IF(COUNTIFS(H46:K46,"待补")&gt;0,"待补",IF(COUNTIFS(H46:K46,"未开始")=4,"未开始","进行中")))</x:f>
        <x:v>未开始</x:v>
      </x:c>
      <x:c r="M46" s="40"/>
      <x:c r="N46" s="21"/>
      <x:c r="O46" s="61" t="n">
        <x:v>679</x:v>
      </x:c>
    </x:row>
    <x:row r="47" ht="88.5" customHeight="1">
      <x:c r="A47" s="35" t="n">
        <x:v>37</x:v>
      </x:c>
      <x:c r="B47" s="36" t="n">
        <x:f>$B$4+A47-1</x:f>
        <x:v>46360</x:v>
      </x:c>
      <x:c r="C47" s="35" t="str">
        <x:v>限时混合训练</x:v>
      </x:c>
      <x:c r="D47" s="15" t="str">
        <x:v>222分钟 10题
MI094、MI023、MI052、MI081
MI020、MI049、MI078
MI007、MI036、MI065
十组各1题；按完整题连续作答</x:v>
      </x:c>
      <x:c r="E47" s="15" t="str">
        <x:v>213分钟 10题
MA094、MA023、MA052、MA081
MA020、MA049、MA078
MA007、MA036、MA065
十组各1题；按完整题连续作答</x:v>
      </x:c>
      <x:c r="F47" s="15" t="str">
        <x:v>203分钟 10题
PE094、PE023、PE052、PE081
PE020、PE049、PE078
PE007、PE036、PE065
十组各1题；按完整题连续作答</x:v>
      </x:c>
      <x:c r="G47" s="15" t="str">
        <x:v>60分钟订正
先核最早错误；三科各记1个条件断点
红题替换次日同科已熟题，仍为10题
未完成题记待补，不把读答案计完成</x:v>
      </x:c>
      <x:c r="H47" s="41" t="str">
        <x:v>未开始</x:v>
      </x:c>
      <x:c r="I47" s="41" t="str">
        <x:v>未开始</x:v>
      </x:c>
      <x:c r="J47" s="41" t="str">
        <x:v>未开始</x:v>
      </x:c>
      <x:c r="K47" s="41" t="str">
        <x:v>未开始</x:v>
      </x:c>
      <x:c r="L47" s="35" t="str">
        <x:f>IF(COUNTIFS(H47:K47,"完成")=4,"完成",IF(COUNTIFS(H47:K47,"待补")&gt;0,"待补",IF(COUNTIFS(H47:K47,"未开始")=4,"未开始","进行中")))</x:f>
        <x:v>未开始</x:v>
      </x:c>
      <x:c r="M47" s="42"/>
      <x:c r="N47" s="17"/>
      <x:c r="O47" s="61" t="n">
        <x:v>698</x:v>
      </x:c>
    </x:row>
    <x:row r="48" ht="88.5" customHeight="1">
      <x:c r="A48" s="33" t="n">
        <x:v>38</x:v>
      </x:c>
      <x:c r="B48" s="34" t="n">
        <x:f>$B$4+A48-1</x:f>
        <x:v>46361</x:v>
      </x:c>
      <x:c r="C48" s="33" t="str">
        <x:v>限时混合训练</x:v>
      </x:c>
      <x:c r="D48" s="23" t="str">
        <x:v>211分钟 10题
MI008、MI037、MI066、MI095
MI024、MI053、MI082
MI011、MI050、MI079
十组各1题；按完整题连续作答</x:v>
      </x:c>
      <x:c r="E48" s="23" t="str">
        <x:v>204分钟 10题
MA008、MA037、MA066、MA095
MA024、MA053、MA082
MA011、MA050、MA079
十组各1题；按完整题连续作答</x:v>
      </x:c>
      <x:c r="F48" s="23" t="str">
        <x:v>211分钟 10题
PE008、PE037、PE066、PE095
PE024、PE053、PE082
PE011、PE050、PE079
十组各1题；按完整题连续作答</x:v>
      </x:c>
      <x:c r="G48" s="23" t="str">
        <x:v>60分钟订正
先核最早错误；三科各记1个条件断点
红题替换次日同科已熟题，仍为10题
未完成题记待补，不把读答案计完成</x:v>
      </x:c>
      <x:c r="H48" s="41" t="str">
        <x:v>未开始</x:v>
      </x:c>
      <x:c r="I48" s="41" t="str">
        <x:v>未开始</x:v>
      </x:c>
      <x:c r="J48" s="41" t="str">
        <x:v>未开始</x:v>
      </x:c>
      <x:c r="K48" s="41" t="str">
        <x:v>未开始</x:v>
      </x:c>
      <x:c r="L48" s="35" t="str">
        <x:f>IF(COUNTIFS(H48:K48,"完成")=4,"完成",IF(COUNTIFS(H48:K48,"待补")&gt;0,"待补",IF(COUNTIFS(H48:K48,"未开始")=4,"未开始","进行中")))</x:f>
        <x:v>未开始</x:v>
      </x:c>
      <x:c r="M48" s="42"/>
      <x:c r="N48" s="17"/>
      <x:c r="O48" s="61" t="n">
        <x:v>686</x:v>
      </x:c>
    </x:row>
    <x:row r="49" ht="88.5" customHeight="1">
      <x:c r="A49" s="35" t="n">
        <x:v>39</x:v>
      </x:c>
      <x:c r="B49" s="36" t="n">
        <x:f>$B$4+A49-1</x:f>
        <x:v>46362</x:v>
      </x:c>
      <x:c r="C49" s="35" t="str">
        <x:v>限时混合训练</x:v>
      </x:c>
      <x:c r="D49" s="15" t="str">
        <x:v>210分钟 10题
MI012、MI041、MI080、MI009
MI038、MI067、MI096
MI025、MI054、MI083
十组各1题；按完整题连续作答</x:v>
      </x:c>
      <x:c r="E49" s="15" t="str">
        <x:v>216分钟 10题
MA012、MA041、MA080、MA009
MA038、MA067、MA096
MA025、MA054、MA083
十组各1题；按完整题连续作答</x:v>
      </x:c>
      <x:c r="F49" s="15" t="str">
        <x:v>202分钟 10题
PE012、PE041、PE080、PE009
PE038、PE067、PE096
PE025、PE054、PE083
十组各1题；按完整题连续作答</x:v>
      </x:c>
      <x:c r="G49" s="15" t="str">
        <x:v>60分钟订正
先核最早错误；三科各记1个条件断点
红题替换次日同科已熟题，仍为10题
未完成题记待补，不把读答案计完成</x:v>
      </x:c>
      <x:c r="H49" s="41" t="str">
        <x:v>未开始</x:v>
      </x:c>
      <x:c r="I49" s="41" t="str">
        <x:v>未开始</x:v>
      </x:c>
      <x:c r="J49" s="41" t="str">
        <x:v>未开始</x:v>
      </x:c>
      <x:c r="K49" s="41" t="str">
        <x:v>未开始</x:v>
      </x:c>
      <x:c r="L49" s="35" t="str">
        <x:f>IF(COUNTIFS(H49:K49,"完成")=4,"完成",IF(COUNTIFS(H49:K49,"待补")&gt;0,"待补",IF(COUNTIFS(H49:K49,"未开始")=4,"未开始","进行中")))</x:f>
        <x:v>未开始</x:v>
      </x:c>
      <x:c r="M49" s="42"/>
      <x:c r="N49" s="17"/>
      <x:c r="O49" s="61" t="n">
        <x:v>688</x:v>
      </x:c>
    </x:row>
    <x:row r="50" ht="88.5" customHeight="1">
      <x:c r="A50" s="33" t="n">
        <x:v>40</x:v>
      </x:c>
      <x:c r="B50" s="34" t="n">
        <x:f>$B$4+A50-1</x:f>
        <x:v>46363</x:v>
      </x:c>
      <x:c r="C50" s="33" t="str">
        <x:v>限时混合训练</x:v>
      </x:c>
      <x:c r="D50" s="23" t="str">
        <x:v>217分钟 10题
MI026、MI055、MI084、MI013
MI042、MI071、MI010
MI039、MI068、MI097
十组各1题；按完整题连续作答</x:v>
      </x:c>
      <x:c r="E50" s="23" t="str">
        <x:v>193分钟 10题
MA026、MA055、MA084、MA013
MA042、MA071、MA010
MA039、MA068、MA097
十组各1题；按完整题连续作答</x:v>
      </x:c>
      <x:c r="F50" s="23" t="str">
        <x:v>202分钟 10题
PE026、PE055、PE084、PE013
PE042、PE071、PE010
PE039、PE068、PE097
十组各1题；按完整题连续作答</x:v>
      </x:c>
      <x:c r="G50" s="23" t="str">
        <x:v>60分钟订正
先核最早错误；三科各记1个条件断点
红题替换次日同科已熟题，仍为10题
未完成题记待补，不把读答案计完成</x:v>
      </x:c>
      <x:c r="H50" s="41" t="str">
        <x:v>未开始</x:v>
      </x:c>
      <x:c r="I50" s="41" t="str">
        <x:v>未开始</x:v>
      </x:c>
      <x:c r="J50" s="41" t="str">
        <x:v>未开始</x:v>
      </x:c>
      <x:c r="K50" s="41" t="str">
        <x:v>未开始</x:v>
      </x:c>
      <x:c r="L50" s="35" t="str">
        <x:f>IF(COUNTIFS(H50:K50,"完成")=4,"完成",IF(COUNTIFS(H50:K50,"待补")&gt;0,"待补",IF(COUNTIFS(H50:K50,"未开始")=4,"未开始","进行中")))</x:f>
        <x:v>未开始</x:v>
      </x:c>
      <x:c r="M50" s="42"/>
      <x:c r="N50" s="17"/>
      <x:c r="O50" s="61" t="n">
        <x:v>672</x:v>
      </x:c>
    </x:row>
    <x:row r="51" ht="88.5" customHeight="1">
      <x:c r="A51" s="35" t="n">
        <x:v>41</x:v>
      </x:c>
      <x:c r="B51" s="36" t="n">
        <x:f>$B$4+A51-1</x:f>
        <x:v>46364</x:v>
      </x:c>
      <x:c r="C51" s="35" t="str">
        <x:v>考前整题回收</x:v>
      </x:c>
      <x:c r="D51" s="15" t="str">
        <x:v>205分钟 10题
MI047、MI079、MI001、MI033
MI065、MI097、MI029
MI051、MI083、MI015
十组各1题；按完整题连续作答</x:v>
      </x:c>
      <x:c r="E51" s="15" t="str">
        <x:v>217分钟 10题
MA047、MA079、MA001、MA033
MA065、MA097、MA029
MA051、MA083、MA015
十组各1题；按完整题连续作答</x:v>
      </x:c>
      <x:c r="F51" s="15" t="str">
        <x:v>206分钟 10题
PE047、PE079、PE001、PE033
PE065、PE097、PE029
PE051、PE083、PE015
十组各1题；按完整题连续作答</x:v>
      </x:c>
      <x:c r="G51" s="15" t="str">
        <x:v>60分钟订正
先核最早错误；三科各记1个条件断点
红题替换次日同科已熟题，仍为10题
未完成题记待补，不把读答案计完成</x:v>
      </x:c>
      <x:c r="H51" s="41" t="str">
        <x:v>未开始</x:v>
      </x:c>
      <x:c r="I51" s="41" t="str">
        <x:v>未开始</x:v>
      </x:c>
      <x:c r="J51" s="41" t="str">
        <x:v>未开始</x:v>
      </x:c>
      <x:c r="K51" s="41" t="str">
        <x:v>未开始</x:v>
      </x:c>
      <x:c r="L51" s="35" t="str">
        <x:f>IF(COUNTIFS(H51:K51,"完成")=4,"完成",IF(COUNTIFS(H51:K51,"待补")&gt;0,"待补",IF(COUNTIFS(H51:K51,"未开始")=4,"未开始","进行中")))</x:f>
        <x:v>未开始</x:v>
      </x:c>
      <x:c r="M51" s="42"/>
      <x:c r="N51" s="17"/>
      <x:c r="O51" s="61" t="n">
        <x:v>688</x:v>
      </x:c>
    </x:row>
    <x:row r="52" ht="88.5" customHeight="1">
      <x:c r="A52" s="33" t="n">
        <x:v>42</x:v>
      </x:c>
      <x:c r="B52" s="34" t="n">
        <x:f>$B$4+A52-1</x:f>
        <x:v>46365</x:v>
      </x:c>
      <x:c r="C52" s="33" t="str">
        <x:v>考前整题回收</x:v>
      </x:c>
      <x:c r="D52" s="23" t="str">
        <x:v>191分钟 10题
MI052、MI084、MI016、MI048
MI080、MI002、MI034
MI066、MI098、MI030
十组各1题；按完整题连续作答</x:v>
      </x:c>
      <x:c r="E52" s="23" t="str">
        <x:v>206分钟 10题
MA052、MA084、MA016、MA048
MA080、MA002、MA034
MA066、MA098、MA030
十组各1题；按完整题连续作答</x:v>
      </x:c>
      <x:c r="F52" s="23" t="str">
        <x:v>205分钟 10题
PE052、PE084、PE016、PE048
PE080、PE002、PE034
PE066、PE098、PE030
十组各1题；按完整题连续作答</x:v>
      </x:c>
      <x:c r="G52" s="23" t="str">
        <x:v>60分钟订正
先核最早错误；三科各记1个条件断点
红题替换次日同科已熟题，仍为10题
未完成题记待补，不把读答案计完成</x:v>
      </x:c>
      <x:c r="H52" s="41" t="str">
        <x:v>未开始</x:v>
      </x:c>
      <x:c r="I52" s="41" t="str">
        <x:v>未开始</x:v>
      </x:c>
      <x:c r="J52" s="41" t="str">
        <x:v>未开始</x:v>
      </x:c>
      <x:c r="K52" s="41" t="str">
        <x:v>未开始</x:v>
      </x:c>
      <x:c r="L52" s="35" t="str">
        <x:f>IF(COUNTIFS(H52:K52,"完成")=4,"完成",IF(COUNTIFS(H52:K52,"待补")&gt;0,"待补",IF(COUNTIFS(H52:K52,"未开始")=4,"未开始","进行中")))</x:f>
        <x:v>未开始</x:v>
      </x:c>
      <x:c r="M52" s="42"/>
      <x:c r="N52" s="17"/>
      <x:c r="O52" s="61" t="n">
        <x:v>662</x:v>
      </x:c>
    </x:row>
    <x:row r="53" ht="88.5" customHeight="1">
      <x:c r="A53" s="35" t="n">
        <x:v>43</x:v>
      </x:c>
      <x:c r="B53" s="36" t="n">
        <x:f>$B$4+A53-1</x:f>
        <x:v>46366</x:v>
      </x:c>
      <x:c r="C53" s="35" t="str">
        <x:v>考前整题回收</x:v>
      </x:c>
      <x:c r="D53" s="15" t="str">
        <x:v>217分钟 10题
MI067、MI099、MI021、MI053
MI085、MI017、MI049
MI071、MI003、MI035
十组各1题；按完整题连续作答</x:v>
      </x:c>
      <x:c r="E53" s="15" t="str">
        <x:v>217分钟 10题
MA067、MA099、MA021、MA053
MA085、MA017、MA049
MA071、MA003、MA035
十组各1题；按完整题连续作答</x:v>
      </x:c>
      <x:c r="F53" s="15" t="str">
        <x:v>209分钟 10题
PE067、PE099、PE021、PE053
PE085、PE017、PE049
PE071、PE003、PE035
十组各1题；按完整题连续作答</x:v>
      </x:c>
      <x:c r="G53" s="15" t="str">
        <x:v>60分钟订正
先核最早错误；三科各记1个条件断点
红题替换次日同科已熟题，仍为10题
未完成题记待补，不把读答案计完成</x:v>
      </x:c>
      <x:c r="H53" s="41" t="str">
        <x:v>未开始</x:v>
      </x:c>
      <x:c r="I53" s="41" t="str">
        <x:v>未开始</x:v>
      </x:c>
      <x:c r="J53" s="41" t="str">
        <x:v>未开始</x:v>
      </x:c>
      <x:c r="K53" s="41" t="str">
        <x:v>未开始</x:v>
      </x:c>
      <x:c r="L53" s="35" t="str">
        <x:f>IF(COUNTIFS(H53:K53,"完成")=4,"完成",IF(COUNTIFS(H53:K53,"待补")&gt;0,"待补",IF(COUNTIFS(H53:K53,"未开始")=4,"未开始","进行中")))</x:f>
        <x:v>未开始</x:v>
      </x:c>
      <x:c r="M53" s="42"/>
      <x:c r="N53" s="17"/>
      <x:c r="O53" s="61" t="n">
        <x:v>703</x:v>
      </x:c>
    </x:row>
    <x:row r="54" ht="88.5" customHeight="1">
      <x:c r="A54" s="33" t="n">
        <x:v>44</x:v>
      </x:c>
      <x:c r="B54" s="34" t="n">
        <x:f>$B$4+A54-1</x:f>
        <x:v>46367</x:v>
      </x:c>
      <x:c r="C54" s="33" t="str">
        <x:v>考前整题回收</x:v>
      </x:c>
      <x:c r="D54" s="23" t="str">
        <x:v>202分钟 10题
MI072、MI004、MI036、MI068
MI100、MI022、MI054
MI086、MI018、MI050
十组各1题；按完整题连续作答</x:v>
      </x:c>
      <x:c r="E54" s="23" t="str">
        <x:v>205分钟 10题
MA072、MA004、MA036、MA068
MA100、MA022、MA054
MA086、MA018、MA050
十组各1题；按完整题连续作答</x:v>
      </x:c>
      <x:c r="F54" s="23" t="str">
        <x:v>202分钟 10题
PE072、PE004、PE036、PE068
PE100、PE022、PE054
PE086、PE018、PE050
十组各1题；按完整题连续作答</x:v>
      </x:c>
      <x:c r="G54" s="23" t="str">
        <x:v>60分钟订正
先核最早错误；三科各记1个条件断点
红题替换次日同科已熟题，仍为10题
未完成题记待补，不把读答案计完成</x:v>
      </x:c>
      <x:c r="H54" s="41" t="str">
        <x:v>未开始</x:v>
      </x:c>
      <x:c r="I54" s="41" t="str">
        <x:v>未开始</x:v>
      </x:c>
      <x:c r="J54" s="41" t="str">
        <x:v>未开始</x:v>
      </x:c>
      <x:c r="K54" s="41" t="str">
        <x:v>未开始</x:v>
      </x:c>
      <x:c r="L54" s="35" t="str">
        <x:f>IF(COUNTIFS(H54:K54,"完成")=4,"完成",IF(COUNTIFS(H54:K54,"待补")&gt;0,"待补",IF(COUNTIFS(H54:K54,"未开始")=4,"未开始","进行中")))</x:f>
        <x:v>未开始</x:v>
      </x:c>
      <x:c r="M54" s="42"/>
      <x:c r="N54" s="17"/>
      <x:c r="O54" s="61" t="n">
        <x:v>669</x:v>
      </x:c>
    </x:row>
    <x:row r="55" ht="88.5" customHeight="1">
      <x:c r="A55" s="35" t="n">
        <x:v>45</x:v>
      </x:c>
      <x:c r="B55" s="36" t="n">
        <x:f>$B$4+A55-1</x:f>
        <x:v>46368</x:v>
      </x:c>
      <x:c r="C55" s="35" t="str">
        <x:v>考前整题回收</x:v>
      </x:c>
      <x:c r="D55" s="15" t="str">
        <x:v>215分钟 10题
MI087、MI019、MI041、MI073
MI005、MI037、MI069
MI091、MI023、MI055
十组各1题；按完整题连续作答</x:v>
      </x:c>
      <x:c r="E55" s="15" t="str">
        <x:v>210分钟 10题
MA087、MA019、MA041、MA073
MA005、MA037、MA069
MA091、MA023、MA055
十组各1题；按完整题连续作答</x:v>
      </x:c>
      <x:c r="F55" s="15" t="str">
        <x:v>199分钟 10题
PE087、PE019、PE041、PE073
PE005、PE037、PE069
PE091、PE023、PE055
十组各1题；按完整题连续作答</x:v>
      </x:c>
      <x:c r="G55" s="15" t="str">
        <x:v>60分钟订正
先核最早错误；三科各记1个条件断点
红题替换次日同科已熟题，仍为10题
未完成题记待补，不把读答案计完成</x:v>
      </x:c>
      <x:c r="H55" s="41" t="str">
        <x:v>未开始</x:v>
      </x:c>
      <x:c r="I55" s="41" t="str">
        <x:v>未开始</x:v>
      </x:c>
      <x:c r="J55" s="41" t="str">
        <x:v>未开始</x:v>
      </x:c>
      <x:c r="K55" s="41" t="str">
        <x:v>未开始</x:v>
      </x:c>
      <x:c r="L55" s="35" t="str">
        <x:f>IF(COUNTIFS(H55:K55,"完成")=4,"完成",IF(COUNTIFS(H55:K55,"待补")&gt;0,"待补",IF(COUNTIFS(H55:K55,"未开始")=4,"未开始","进行中")))</x:f>
        <x:v>未开始</x:v>
      </x:c>
      <x:c r="M55" s="42"/>
      <x:c r="N55" s="17"/>
      <x:c r="O55" s="61" t="n">
        <x:v>684</x:v>
      </x:c>
    </x:row>
    <x:row r="56" ht="88.5" customHeight="1">
      <x:c r="A56" s="37" t="n">
        <x:v>46</x:v>
      </x:c>
      <x:c r="B56" s="38" t="n">
        <x:f>$B$4+A56-1</x:f>
        <x:v>46369</x:v>
      </x:c>
      <x:c r="C56" s="37" t="str">
        <x:v>考前整题回收</x:v>
      </x:c>
      <x:c r="D56" s="25" t="str">
        <x:v>217分钟 10题
MI092、MI024、MI056、MI088
MI020、MI042、MI074
MI006、MI038、MI070
十组各1题；按完整题连续作答</x:v>
      </x:c>
      <x:c r="E56" s="25" t="str">
        <x:v>206分钟 10题
MA092、MA024、MA056、MA088
MA020、MA042、MA074
MA006、MA038、MA070
十组各1题；按完整题连续作答</x:v>
      </x:c>
      <x:c r="F56" s="25" t="str">
        <x:v>215分钟 10题
PE092、PE024、PE056、PE088
PE020、PE042、PE074
PE006、PE038、PE070
十组各1题；按完整题连续作答</x:v>
      </x:c>
      <x:c r="G56" s="25" t="str">
        <x:v>60分钟订正
先核最早错误；三科各记1个条件断点
红题替换次日同科已熟题，仍为10题
未完成题记待补，不把读答案计完成</x:v>
      </x:c>
      <x:c r="H56" s="39" t="str">
        <x:v>未开始</x:v>
      </x:c>
      <x:c r="I56" s="39" t="str">
        <x:v>未开始</x:v>
      </x:c>
      <x:c r="J56" s="39" t="str">
        <x:v>未开始</x:v>
      </x:c>
      <x:c r="K56" s="39" t="str">
        <x:v>未开始</x:v>
      </x:c>
      <x:c r="L56" s="31" t="str">
        <x:f>IF(COUNTIFS(H56:K56,"完成")=4,"完成",IF(COUNTIFS(H56:K56,"待补")&gt;0,"待补",IF(COUNTIFS(H56:K56,"未开始")=4,"未开始","进行中")))</x:f>
        <x:v>未开始</x:v>
      </x:c>
      <x:c r="M56" s="40"/>
      <x:c r="N56" s="21"/>
      <x:c r="O56" s="61" t="n">
        <x:v>698</x:v>
      </x:c>
    </x:row>
    <x:row r="57" ht="88.5" customHeight="1">
      <x:c r="A57" s="35" t="n">
        <x:v>47</x:v>
      </x:c>
      <x:c r="B57" s="36" t="n">
        <x:f>$B$4+A57-1</x:f>
        <x:v>46370</x:v>
      </x:c>
      <x:c r="C57" s="35" t="str">
        <x:v>考前整题回收</x:v>
      </x:c>
      <x:c r="D57" s="15" t="str">
        <x:v>209分钟 10题
MI007、MI039、MI061、MI093
MI025、MI057、MI089
MI011、MI043、MI075
十组各1题；按完整题连续作答</x:v>
      </x:c>
      <x:c r="E57" s="15" t="str">
        <x:v>212分钟 10题
MA007、MA039、MA061、MA093
MA025、MA057、MA089
MA011、MA043、MA075
十组各1题；按完整题连续作答</x:v>
      </x:c>
      <x:c r="F57" s="15" t="str">
        <x:v>197分钟 10题
PE007、PE039、PE061、PE093
PE025、PE057、PE089
PE011、PE043、PE075
十组各1题；按完整题连续作答</x:v>
      </x:c>
      <x:c r="G57" s="15" t="str">
        <x:v>60分钟订正
先核最早错误；三科各记1个条件断点
红题替换次日同科已熟题，仍为10题
未完成题记待补，不把读答案计完成</x:v>
      </x:c>
      <x:c r="H57" s="41" t="str">
        <x:v>未开始</x:v>
      </x:c>
      <x:c r="I57" s="41" t="str">
        <x:v>未开始</x:v>
      </x:c>
      <x:c r="J57" s="41" t="str">
        <x:v>未开始</x:v>
      </x:c>
      <x:c r="K57" s="41" t="str">
        <x:v>未开始</x:v>
      </x:c>
      <x:c r="L57" s="35" t="str">
        <x:f>IF(COUNTIFS(H57:K57,"完成")=4,"完成",IF(COUNTIFS(H57:K57,"待补")&gt;0,"待补",IF(COUNTIFS(H57:K57,"未开始")=4,"未开始","进行中")))</x:f>
        <x:v>未开始</x:v>
      </x:c>
      <x:c r="M57" s="42"/>
      <x:c r="N57" s="17"/>
      <x:c r="O57" s="61" t="n">
        <x:v>678</x:v>
      </x:c>
    </x:row>
    <x:row r="58" ht="88.5" customHeight="1">
      <x:c r="A58" s="33" t="n">
        <x:v>48</x:v>
      </x:c>
      <x:c r="B58" s="34" t="n">
        <x:f>$B$4+A58-1</x:f>
        <x:v>46371</x:v>
      </x:c>
      <x:c r="C58" s="33" t="str">
        <x:v>考前整题回收</x:v>
      </x:c>
      <x:c r="D58" s="23" t="str">
        <x:v>202分钟 10题
MI012、MI044、MI076、MI008
MI040、MI062、MI094
MI026、MI058、MI090
十组各1题；按完整题连续作答</x:v>
      </x:c>
      <x:c r="E58" s="23" t="str">
        <x:v>209分钟 10题
MA012、MA044、MA076、MA008
MA040、MA062、MA094
MA026、MA058、MA090
十组各1题；按完整题连续作答</x:v>
      </x:c>
      <x:c r="F58" s="23" t="str">
        <x:v>208分钟 10题
PE012、PE044、PE076、PE008
PE040、PE062、PE094
PE026、PE058、PE090
十组各1题；按完整题连续作答</x:v>
      </x:c>
      <x:c r="G58" s="23" t="str">
        <x:v>60分钟订正
先核最早错误；三科各记1个条件断点
红题替换次日同科已熟题，仍为10题
未完成题记待补，不把读答案计完成</x:v>
      </x:c>
      <x:c r="H58" s="41" t="str">
        <x:v>未开始</x:v>
      </x:c>
      <x:c r="I58" s="41" t="str">
        <x:v>未开始</x:v>
      </x:c>
      <x:c r="J58" s="41" t="str">
        <x:v>未开始</x:v>
      </x:c>
      <x:c r="K58" s="41" t="str">
        <x:v>未开始</x:v>
      </x:c>
      <x:c r="L58" s="35" t="str">
        <x:f>IF(COUNTIFS(H58:K58,"完成")=4,"完成",IF(COUNTIFS(H58:K58,"待补")&gt;0,"待补",IF(COUNTIFS(H58:K58,"未开始")=4,"未开始","进行中")))</x:f>
        <x:v>未开始</x:v>
      </x:c>
      <x:c r="M58" s="42"/>
      <x:c r="N58" s="17"/>
      <x:c r="O58" s="61" t="n">
        <x:v>679</x:v>
      </x:c>
    </x:row>
    <x:row r="59" ht="88.5" customHeight="1">
      <x:c r="A59" s="35" t="n">
        <x:v>49</x:v>
      </x:c>
      <x:c r="B59" s="36" t="n">
        <x:f>$B$4+A59-1</x:f>
        <x:v>46372</x:v>
      </x:c>
      <x:c r="C59" s="35" t="str">
        <x:v>考前整题回收</x:v>
      </x:c>
      <x:c r="D59" s="15" t="str">
        <x:v>219分钟 10题
MI027、MI059、MI081、MI013
MI045、MI077、MI009
MI031、MI063、MI095
十组各1题；按完整题连续作答</x:v>
      </x:c>
      <x:c r="E59" s="15" t="str">
        <x:v>214分钟 10题
MA027、MA059、MA081、MA013
MA045、MA077、MA009
MA031、MA063、MA095
十组各1题；按完整题连续作答</x:v>
      </x:c>
      <x:c r="F59" s="15" t="str">
        <x:v>203分钟 10题
PE027、PE059、PE081、PE013
PE045、PE077、PE009
PE031、PE063、PE095
十组各1题；按完整题连续作答</x:v>
      </x:c>
      <x:c r="G59" s="15" t="str">
        <x:v>60分钟订正
先核最早错误；三科各记1个条件断点
红题替换次日同科已熟题，仍为10题
未完成题记待补，不把读答案计完成</x:v>
      </x:c>
      <x:c r="H59" s="41" t="str">
        <x:v>未开始</x:v>
      </x:c>
      <x:c r="I59" s="41" t="str">
        <x:v>未开始</x:v>
      </x:c>
      <x:c r="J59" s="41" t="str">
        <x:v>未开始</x:v>
      </x:c>
      <x:c r="K59" s="41" t="str">
        <x:v>未开始</x:v>
      </x:c>
      <x:c r="L59" s="35" t="str">
        <x:f>IF(COUNTIFS(H59:K59,"完成")=4,"完成",IF(COUNTIFS(H59:K59,"待补")&gt;0,"待补",IF(COUNTIFS(H59:K59,"未开始")=4,"未开始","进行中")))</x:f>
        <x:v>未开始</x:v>
      </x:c>
      <x:c r="M59" s="42"/>
      <x:c r="N59" s="17"/>
      <x:c r="O59" s="61" t="n">
        <x:v>696</x:v>
      </x:c>
    </x:row>
    <x:row r="60" ht="88.5" customHeight="1">
      <x:c r="A60" s="33" t="n">
        <x:v>50</x:v>
      </x:c>
      <x:c r="B60" s="34" t="n">
        <x:f>$B$4+A60-1</x:f>
        <x:v>46373</x:v>
      </x:c>
      <x:c r="C60" s="33" t="str">
        <x:v>考前整题回收</x:v>
      </x:c>
      <x:c r="D60" s="23" t="str">
        <x:v>191分钟 10题
MI032、MI064、MI096、MI028
MI060、MI082、MI014
MI046、MI078、MI010
十组各1题；按完整题连续作答</x:v>
      </x:c>
      <x:c r="E60" s="23" t="str">
        <x:v>203分钟 10题
MA032、MA064、MA096、MA028
MA060、MA082、MA014
MA046、MA078、MA010
十组各1题；按完整题连续作答</x:v>
      </x:c>
      <x:c r="F60" s="23" t="str">
        <x:v>201分钟 10题
PE032、PE064、PE096、PE028
PE060、PE082、PE014
PE046、PE078、PE010
十组各1题；按完整题连续作答</x:v>
      </x:c>
      <x:c r="G60" s="23" t="str">
        <x:v>60分钟订正
先核最早错误；三科各记1个条件断点
红题替换次日同科已熟题，仍为10题
未完成题记待补，不把读答案计完成</x:v>
      </x:c>
      <x:c r="H60" s="41" t="str">
        <x:v>未开始</x:v>
      </x:c>
      <x:c r="I60" s="41" t="str">
        <x:v>未开始</x:v>
      </x:c>
      <x:c r="J60" s="41" t="str">
        <x:v>未开始</x:v>
      </x:c>
      <x:c r="K60" s="41" t="str">
        <x:v>未开始</x:v>
      </x:c>
      <x:c r="L60" s="35" t="str">
        <x:f>IF(COUNTIFS(H60:K60,"完成")=4,"完成",IF(COUNTIFS(H60:K60,"待补")&gt;0,"待补",IF(COUNTIFS(H60:K60,"未开始")=4,"未开始","进行中")))</x:f>
        <x:v>未开始</x:v>
      </x:c>
      <x:c r="M60" s="42"/>
      <x:c r="N60" s="17"/>
      <x:c r="O60" s="61" t="n">
        <x:v>655</x:v>
      </x:c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43" t="str">
        <x:v>资料与执行规则</x:v>
      </x:c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45" t="str">
        <x:v>微观：人大802微观真题分组模拟训练手册，2026年10月29日版本；按MI、MA、PE三位编号查题与解答。</x:v>
      </x:c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45" t="str">
        <x:v>宏观：人大802宏观真题分组模拟训练手册，2026年10月29日版本；按MI、MA、PE三位编号查题与解答。</x:v>
      </x:c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45" t="str">
        <x:v>政经：人大802政经真题分组模拟训练手册，2026年10月29日版本；按MI、MA、PE三位编号查题与解答。</x:v>
      </x:c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45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45" t="str">
        <x:v>基础与公式册作为回查；主计划中的题号均为新模拟册独立题号。</x:v>
      </x:c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45" t="str">
        <x:v>每天每科10题包含完整大题、证明或论述，不能按小问增加完成题数。</x:v>
      </x:c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45" t="str">
        <x:v>D1至D10按组首次作答，D11至D50每科每天十组各抽1题，按轮次改变题号组合。</x:v>
      </x:c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45" t="str">
        <x:v>首做需要核假设与必要分支；后四轮仍完整作答，不以口述答案替代独立题量。</x:v>
      </x:c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45" t="str">
        <x:v>四次复做使用相同题干，组合改变不等于新增变式；各册内本来不同的变式题有独立编号。</x:v>
      </x:c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45" t="str">
        <x:v>错题优先替换同科已熟题；替换题号记录待补栏，实际安排仍每科10题。</x:v>
      </x:c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13" t="str">
        <x:v>每天另列60分钟订正记录，遇长论述或复杂计算可增加，实际学习时间自行记录。</x:v>
      </x:c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13" t="str">
        <x:v>原计划的日期、学习状态与错题记录保留；题量、题号、预计分钟及资料入口更新。</x:v>
      </x:c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H11:L60">
    <x:cfRule type="cellIs" dxfId="0" priority="1" operator="equal">
      <x:formula>"完成"</x:formula>
    </x:cfRule>
    <x:cfRule type="cellIs" dxfId="1" priority="2" operator="equal">
      <x:formula>"待补"</x:formula>
    </x:cfRule>
    <x:cfRule type="cellIs" dxfId="2" priority="3" operator="equal">
      <x:formula>"进行中"</x:formula>
    </x:cfRule>
  </x:conditionalFormatting>
  <x:dataValidations count="2">
    <x:dataValidation type="list" sqref="H11:K60">
      <x:formula1>"未开始,进行中,完成,待补"</x:formula1>
    </x:dataValidation>
    <x:dataValidation type="whole" operator="between" sqref="M11:M60">
      <x:formula1>0</x:formula1>
      <x:formula2>1440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e05d93654e14064"/>
  </x:tableParts>
</x:worksheet>
</file>

<file path=xl/worksheets/sheet2.xml><?xml version="1.0" encoding="utf-8"?>
<x:worksheet xmlns:x="http://schemas.openxmlformats.org/spreadsheetml/2006/main">
  <x:sheetPr>
    <x:tabColor rgb="FF7186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.630000114440918" hidden="0" customWidth="1"/>
    <x:col min="2" max="2" width="9.75" hidden="0" customWidth="1"/>
    <x:col min="3" max="3" width="20" hidden="0" customWidth="1"/>
    <x:col min="4" max="4" width="32.5" hidden="0" customWidth="1"/>
    <x:col min="5" max="5" width="27.5" hidden="0" customWidth="1"/>
    <x:col min="6" max="6" width="11" hidden="0" customWidth="1"/>
    <x:col min="7" max="7" width="12.25" hidden="0" customWidth="1"/>
    <x:col min="8" max="8" width="12.25" hidden="0" customWidth="1"/>
    <x:col min="9" max="9" width="12.25" hidden="0" customWidth="1"/>
    <x:col min="10" max="10" width="12.5" hidden="0" customWidth="1"/>
    <x:col min="11" max="11" width="12.5" hidden="0" customWidth="1"/>
    <x:col min="12" max="12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错题复做记录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首次错题日期由你填写；次日、4天后和7天后为复做提醒，可按实际情况调整。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红：不会起式；黄：漏分支或解释；绿：隔日闭卷通过。保持空白行，填入后才计算日期。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52" t="str">
        <x:v>首次日期</x:v>
      </x:c>
      <x:c r="B6" s="52" t="str">
        <x:v>学科</x:v>
      </x:c>
      <x:c r="C6" s="52" t="str">
        <x:v>题号或节号</x:v>
      </x:c>
      <x:c r="D6" s="52" t="str">
        <x:v>最早错误</x:v>
      </x:c>
      <x:c r="E6" s="52" t="str">
        <x:v>下次先检查什么</x:v>
      </x:c>
      <x:c r="F6" s="52" t="str">
        <x:v>掌握状态</x:v>
      </x:c>
      <x:c r="G6" s="52" t="str">
        <x:v>次日复做</x:v>
      </x:c>
      <x:c r="H6" s="52" t="str">
        <x:v>4天后抽查</x:v>
      </x:c>
      <x:c r="I6" s="52" t="str">
        <x:v>7天后抽查</x:v>
      </x:c>
      <x:c r="J6" s="52" t="str">
        <x:v>最近复做日期</x:v>
      </x:c>
      <x:c r="K6" s="52" t="str">
        <x:v>复做结果</x:v>
      </x:c>
      <x:c r="L6" s="52" t="str">
        <x:v>备注</x:v>
      </x:c>
      <x:c r="M6" s="2"/>
      <x:c r="N6" s="2"/>
    </x:row>
    <x:row r="7" ht="43.5" customHeight="1">
      <x:c r="A7" s="48"/>
      <x:c r="B7" s="17"/>
      <x:c r="C7" s="17"/>
      <x:c r="D7" s="17"/>
      <x:c r="E7" s="17"/>
      <x:c r="F7" s="17"/>
      <x:c r="G7" s="16" t="str">
        <x:f>IF(A7="","",A7+1)</x:f>
      </x:c>
      <x:c r="H7" s="16" t="str">
        <x:f>IF(A7="","",A7+4)</x:f>
      </x:c>
      <x:c r="I7" s="16" t="str">
        <x:f>IF(A7="","",A7+7)</x:f>
      </x:c>
      <x:c r="J7" s="48"/>
      <x:c r="K7" s="17"/>
      <x:c r="L7" s="17"/>
      <x:c r="M7" s="2"/>
      <x:c r="N7" s="2"/>
    </x:row>
    <x:row r="8" ht="43.5" customHeight="1">
      <x:c r="A8" s="48"/>
      <x:c r="B8" s="17"/>
      <x:c r="C8" s="17"/>
      <x:c r="D8" s="17"/>
      <x:c r="E8" s="17"/>
      <x:c r="F8" s="17"/>
      <x:c r="G8" s="16" t="str">
        <x:f>IF(A8="","",A8+1)</x:f>
      </x:c>
      <x:c r="H8" s="16" t="str">
        <x:f>IF(A8="","",A8+4)</x:f>
      </x:c>
      <x:c r="I8" s="16" t="str">
        <x:f>IF(A8="","",A8+7)</x:f>
      </x:c>
      <x:c r="J8" s="48"/>
      <x:c r="K8" s="17"/>
      <x:c r="L8" s="17"/>
      <x:c r="M8" s="2"/>
      <x:c r="N8" s="2"/>
    </x:row>
    <x:row r="9" ht="43.5" customHeight="1">
      <x:c r="A9" s="48"/>
      <x:c r="B9" s="17"/>
      <x:c r="C9" s="17"/>
      <x:c r="D9" s="17"/>
      <x:c r="E9" s="17"/>
      <x:c r="F9" s="17"/>
      <x:c r="G9" s="16" t="str">
        <x:f>IF(A9="","",A9+1)</x:f>
      </x:c>
      <x:c r="H9" s="16" t="str">
        <x:f>IF(A9="","",A9+4)</x:f>
      </x:c>
      <x:c r="I9" s="16" t="str">
        <x:f>IF(A9="","",A9+7)</x:f>
      </x:c>
      <x:c r="J9" s="48"/>
      <x:c r="K9" s="17"/>
      <x:c r="L9" s="17"/>
      <x:c r="M9" s="2"/>
      <x:c r="N9" s="2"/>
    </x:row>
    <x:row r="10" ht="43.5" customHeight="1">
      <x:c r="A10" s="48"/>
      <x:c r="B10" s="17"/>
      <x:c r="C10" s="17"/>
      <x:c r="D10" s="17"/>
      <x:c r="E10" s="17"/>
      <x:c r="F10" s="17"/>
      <x:c r="G10" s="16" t="str">
        <x:f>IF(A10="","",A10+1)</x:f>
      </x:c>
      <x:c r="H10" s="16" t="str">
        <x:f>IF(A10="","",A10+4)</x:f>
      </x:c>
      <x:c r="I10" s="16" t="str">
        <x:f>IF(A10="","",A10+7)</x:f>
      </x:c>
      <x:c r="J10" s="48"/>
      <x:c r="K10" s="17"/>
      <x:c r="L10" s="17"/>
      <x:c r="M10" s="2"/>
      <x:c r="N10" s="2"/>
    </x:row>
    <x:row r="11" ht="43.5" customHeight="1">
      <x:c r="A11" s="48"/>
      <x:c r="B11" s="17"/>
      <x:c r="C11" s="17"/>
      <x:c r="D11" s="17"/>
      <x:c r="E11" s="17"/>
      <x:c r="F11" s="17"/>
      <x:c r="G11" s="16" t="str">
        <x:f>IF(A11="","",A11+1)</x:f>
      </x:c>
      <x:c r="H11" s="16" t="str">
        <x:f>IF(A11="","",A11+4)</x:f>
      </x:c>
      <x:c r="I11" s="16" t="str">
        <x:f>IF(A11="","",A11+7)</x:f>
      </x:c>
      <x:c r="J11" s="48"/>
      <x:c r="K11" s="17"/>
      <x:c r="L11" s="17"/>
      <x:c r="M11" s="2"/>
      <x:c r="N11" s="2"/>
    </x:row>
    <x:row r="12" ht="43.5" customHeight="1">
      <x:c r="A12" s="48"/>
      <x:c r="B12" s="17"/>
      <x:c r="C12" s="17"/>
      <x:c r="D12" s="17"/>
      <x:c r="E12" s="17"/>
      <x:c r="F12" s="17"/>
      <x:c r="G12" s="16" t="str">
        <x:f>IF(A12="","",A12+1)</x:f>
      </x:c>
      <x:c r="H12" s="16" t="str">
        <x:f>IF(A12="","",A12+4)</x:f>
      </x:c>
      <x:c r="I12" s="16" t="str">
        <x:f>IF(A12="","",A12+7)</x:f>
      </x:c>
      <x:c r="J12" s="48"/>
      <x:c r="K12" s="17"/>
      <x:c r="L12" s="17"/>
      <x:c r="M12" s="2"/>
      <x:c r="N12" s="2"/>
    </x:row>
    <x:row r="13" ht="43.5" customHeight="1">
      <x:c r="A13" s="48"/>
      <x:c r="B13" s="17"/>
      <x:c r="C13" s="17"/>
      <x:c r="D13" s="17"/>
      <x:c r="E13" s="17"/>
      <x:c r="F13" s="17"/>
      <x:c r="G13" s="16" t="str">
        <x:f>IF(A13="","",A13+1)</x:f>
      </x:c>
      <x:c r="H13" s="16" t="str">
        <x:f>IF(A13="","",A13+4)</x:f>
      </x:c>
      <x:c r="I13" s="16" t="str">
        <x:f>IF(A13="","",A13+7)</x:f>
      </x:c>
      <x:c r="J13" s="48"/>
      <x:c r="K13" s="17"/>
      <x:c r="L13" s="17"/>
      <x:c r="M13" s="2"/>
      <x:c r="N13" s="2"/>
    </x:row>
    <x:row r="14" ht="43.5" customHeight="1">
      <x:c r="A14" s="48"/>
      <x:c r="B14" s="17"/>
      <x:c r="C14" s="17"/>
      <x:c r="D14" s="17"/>
      <x:c r="E14" s="17"/>
      <x:c r="F14" s="17"/>
      <x:c r="G14" s="16" t="str">
        <x:f>IF(A14="","",A14+1)</x:f>
      </x:c>
      <x:c r="H14" s="16" t="str">
        <x:f>IF(A14="","",A14+4)</x:f>
      </x:c>
      <x:c r="I14" s="16" t="str">
        <x:f>IF(A14="","",A14+7)</x:f>
      </x:c>
      <x:c r="J14" s="48"/>
      <x:c r="K14" s="17"/>
      <x:c r="L14" s="17"/>
      <x:c r="M14" s="2"/>
      <x:c r="N14" s="2"/>
    </x:row>
    <x:row r="15" ht="43.5" customHeight="1">
      <x:c r="A15" s="48"/>
      <x:c r="B15" s="17"/>
      <x:c r="C15" s="17"/>
      <x:c r="D15" s="17"/>
      <x:c r="E15" s="17"/>
      <x:c r="F15" s="17"/>
      <x:c r="G15" s="16" t="str">
        <x:f>IF(A15="","",A15+1)</x:f>
      </x:c>
      <x:c r="H15" s="16" t="str">
        <x:f>IF(A15="","",A15+4)</x:f>
      </x:c>
      <x:c r="I15" s="16" t="str">
        <x:f>IF(A15="","",A15+7)</x:f>
      </x:c>
      <x:c r="J15" s="48"/>
      <x:c r="K15" s="17"/>
      <x:c r="L15" s="17"/>
      <x:c r="M15" s="2"/>
      <x:c r="N15" s="2"/>
    </x:row>
    <x:row r="16" ht="43.5" customHeight="1">
      <x:c r="A16" s="48"/>
      <x:c r="B16" s="17"/>
      <x:c r="C16" s="17"/>
      <x:c r="D16" s="17"/>
      <x:c r="E16" s="17"/>
      <x:c r="F16" s="17"/>
      <x:c r="G16" s="16" t="str">
        <x:f>IF(A16="","",A16+1)</x:f>
      </x:c>
      <x:c r="H16" s="16" t="str">
        <x:f>IF(A16="","",A16+4)</x:f>
      </x:c>
      <x:c r="I16" s="16" t="str">
        <x:f>IF(A16="","",A16+7)</x:f>
      </x:c>
      <x:c r="J16" s="48"/>
      <x:c r="K16" s="17"/>
      <x:c r="L16" s="17"/>
      <x:c r="M16" s="2"/>
      <x:c r="N16" s="2"/>
    </x:row>
    <x:row r="17" ht="43.5" customHeight="1">
      <x:c r="A17" s="48"/>
      <x:c r="B17" s="17"/>
      <x:c r="C17" s="17"/>
      <x:c r="D17" s="17"/>
      <x:c r="E17" s="17"/>
      <x:c r="F17" s="17"/>
      <x:c r="G17" s="16" t="str">
        <x:f>IF(A17="","",A17+1)</x:f>
      </x:c>
      <x:c r="H17" s="16" t="str">
        <x:f>IF(A17="","",A17+4)</x:f>
      </x:c>
      <x:c r="I17" s="16" t="str">
        <x:f>IF(A17="","",A17+7)</x:f>
      </x:c>
      <x:c r="J17" s="48"/>
      <x:c r="K17" s="17"/>
      <x:c r="L17" s="17"/>
      <x:c r="M17" s="2"/>
      <x:c r="N17" s="2"/>
    </x:row>
    <x:row r="18" ht="43.5" customHeight="1">
      <x:c r="A18" s="48"/>
      <x:c r="B18" s="17"/>
      <x:c r="C18" s="17"/>
      <x:c r="D18" s="17"/>
      <x:c r="E18" s="17"/>
      <x:c r="F18" s="17"/>
      <x:c r="G18" s="16" t="str">
        <x:f>IF(A18="","",A18+1)</x:f>
      </x:c>
      <x:c r="H18" s="16" t="str">
        <x:f>IF(A18="","",A18+4)</x:f>
      </x:c>
      <x:c r="I18" s="16" t="str">
        <x:f>IF(A18="","",A18+7)</x:f>
      </x:c>
      <x:c r="J18" s="48"/>
      <x:c r="K18" s="17"/>
      <x:c r="L18" s="17"/>
      <x:c r="M18" s="2"/>
      <x:c r="N18" s="2"/>
    </x:row>
    <x:row r="19" ht="43.5" customHeight="1">
      <x:c r="A19" s="48"/>
      <x:c r="B19" s="17"/>
      <x:c r="C19" s="17"/>
      <x:c r="D19" s="17"/>
      <x:c r="E19" s="17"/>
      <x:c r="F19" s="17"/>
      <x:c r="G19" s="16" t="str">
        <x:f>IF(A19="","",A19+1)</x:f>
      </x:c>
      <x:c r="H19" s="16" t="str">
        <x:f>IF(A19="","",A19+4)</x:f>
      </x:c>
      <x:c r="I19" s="16" t="str">
        <x:f>IF(A19="","",A19+7)</x:f>
      </x:c>
      <x:c r="J19" s="48"/>
      <x:c r="K19" s="17"/>
      <x:c r="L19" s="17"/>
      <x:c r="M19" s="2"/>
      <x:c r="N19" s="2"/>
    </x:row>
    <x:row r="20" ht="43.5" customHeight="1">
      <x:c r="A20" s="48"/>
      <x:c r="B20" s="17"/>
      <x:c r="C20" s="17"/>
      <x:c r="D20" s="17"/>
      <x:c r="E20" s="17"/>
      <x:c r="F20" s="17"/>
      <x:c r="G20" s="16" t="str">
        <x:f>IF(A20="","",A20+1)</x:f>
      </x:c>
      <x:c r="H20" s="16" t="str">
        <x:f>IF(A20="","",A20+4)</x:f>
      </x:c>
      <x:c r="I20" s="16" t="str">
        <x:f>IF(A20="","",A20+7)</x:f>
      </x:c>
      <x:c r="J20" s="48"/>
      <x:c r="K20" s="17"/>
      <x:c r="L20" s="17"/>
      <x:c r="M20" s="2"/>
      <x:c r="N20" s="2"/>
    </x:row>
    <x:row r="21" ht="43.5" customHeight="1">
      <x:c r="A21" s="48"/>
      <x:c r="B21" s="17"/>
      <x:c r="C21" s="17"/>
      <x:c r="D21" s="17"/>
      <x:c r="E21" s="17"/>
      <x:c r="F21" s="17"/>
      <x:c r="G21" s="16" t="str">
        <x:f>IF(A21="","",A21+1)</x:f>
      </x:c>
      <x:c r="H21" s="16" t="str">
        <x:f>IF(A21="","",A21+4)</x:f>
      </x:c>
      <x:c r="I21" s="16" t="str">
        <x:f>IF(A21="","",A21+7)</x:f>
      </x:c>
      <x:c r="J21" s="48"/>
      <x:c r="K21" s="17"/>
      <x:c r="L21" s="17"/>
      <x:c r="M21" s="2"/>
      <x:c r="N21" s="2"/>
    </x:row>
    <x:row r="22" ht="43.5" customHeight="1">
      <x:c r="A22" s="48"/>
      <x:c r="B22" s="17"/>
      <x:c r="C22" s="17"/>
      <x:c r="D22" s="17"/>
      <x:c r="E22" s="17"/>
      <x:c r="F22" s="17"/>
      <x:c r="G22" s="16" t="str">
        <x:f>IF(A22="","",A22+1)</x:f>
      </x:c>
      <x:c r="H22" s="16" t="str">
        <x:f>IF(A22="","",A22+4)</x:f>
      </x:c>
      <x:c r="I22" s="16" t="str">
        <x:f>IF(A22="","",A22+7)</x:f>
      </x:c>
      <x:c r="J22" s="48"/>
      <x:c r="K22" s="17"/>
      <x:c r="L22" s="17"/>
      <x:c r="M22" s="2"/>
      <x:c r="N22" s="2"/>
    </x:row>
    <x:row r="23" ht="43.5" customHeight="1">
      <x:c r="A23" s="48"/>
      <x:c r="B23" s="17"/>
      <x:c r="C23" s="17"/>
      <x:c r="D23" s="17"/>
      <x:c r="E23" s="17"/>
      <x:c r="F23" s="17"/>
      <x:c r="G23" s="16" t="str">
        <x:f>IF(A23="","",A23+1)</x:f>
      </x:c>
      <x:c r="H23" s="16" t="str">
        <x:f>IF(A23="","",A23+4)</x:f>
      </x:c>
      <x:c r="I23" s="16" t="str">
        <x:f>IF(A23="","",A23+7)</x:f>
      </x:c>
      <x:c r="J23" s="48"/>
      <x:c r="K23" s="17"/>
      <x:c r="L23" s="17"/>
      <x:c r="M23" s="2"/>
      <x:c r="N23" s="2"/>
    </x:row>
    <x:row r="24" ht="43.5" customHeight="1">
      <x:c r="A24" s="48"/>
      <x:c r="B24" s="17"/>
      <x:c r="C24" s="17"/>
      <x:c r="D24" s="17"/>
      <x:c r="E24" s="17"/>
      <x:c r="F24" s="17"/>
      <x:c r="G24" s="16" t="str">
        <x:f>IF(A24="","",A24+1)</x:f>
      </x:c>
      <x:c r="H24" s="16" t="str">
        <x:f>IF(A24="","",A24+4)</x:f>
      </x:c>
      <x:c r="I24" s="16" t="str">
        <x:f>IF(A24="","",A24+7)</x:f>
      </x:c>
      <x:c r="J24" s="48"/>
      <x:c r="K24" s="17"/>
      <x:c r="L24" s="17"/>
      <x:c r="M24" s="2"/>
      <x:c r="N24" s="2"/>
    </x:row>
    <x:row r="25" ht="43.5" customHeight="1">
      <x:c r="A25" s="48"/>
      <x:c r="B25" s="17"/>
      <x:c r="C25" s="17"/>
      <x:c r="D25" s="17"/>
      <x:c r="E25" s="17"/>
      <x:c r="F25" s="17"/>
      <x:c r="G25" s="16" t="str">
        <x:f>IF(A25="","",A25+1)</x:f>
      </x:c>
      <x:c r="H25" s="16" t="str">
        <x:f>IF(A25="","",A25+4)</x:f>
      </x:c>
      <x:c r="I25" s="16" t="str">
        <x:f>IF(A25="","",A25+7)</x:f>
      </x:c>
      <x:c r="J25" s="48"/>
      <x:c r="K25" s="17"/>
      <x:c r="L25" s="17"/>
      <x:c r="M25" s="2"/>
      <x:c r="N25" s="2"/>
    </x:row>
    <x:row r="26" ht="43.5" customHeight="1">
      <x:c r="A26" s="48"/>
      <x:c r="B26" s="17"/>
      <x:c r="C26" s="17"/>
      <x:c r="D26" s="17"/>
      <x:c r="E26" s="17"/>
      <x:c r="F26" s="17"/>
      <x:c r="G26" s="16" t="str">
        <x:f>IF(A26="","",A26+1)</x:f>
      </x:c>
      <x:c r="H26" s="16" t="str">
        <x:f>IF(A26="","",A26+4)</x:f>
      </x:c>
      <x:c r="I26" s="16" t="str">
        <x:f>IF(A26="","",A26+7)</x:f>
      </x:c>
      <x:c r="J26" s="48"/>
      <x:c r="K26" s="17"/>
      <x:c r="L26" s="17"/>
      <x:c r="M26" s="2"/>
      <x:c r="N26" s="2"/>
    </x:row>
    <x:row r="27" ht="43.5" customHeight="1">
      <x:c r="A27" s="48"/>
      <x:c r="B27" s="17"/>
      <x:c r="C27" s="17"/>
      <x:c r="D27" s="17"/>
      <x:c r="E27" s="17"/>
      <x:c r="F27" s="17"/>
      <x:c r="G27" s="16" t="str">
        <x:f>IF(A27="","",A27+1)</x:f>
      </x:c>
      <x:c r="H27" s="16" t="str">
        <x:f>IF(A27="","",A27+4)</x:f>
      </x:c>
      <x:c r="I27" s="16" t="str">
        <x:f>IF(A27="","",A27+7)</x:f>
      </x:c>
      <x:c r="J27" s="48"/>
      <x:c r="K27" s="17"/>
      <x:c r="L27" s="17"/>
      <x:c r="M27" s="2"/>
      <x:c r="N27" s="2"/>
    </x:row>
    <x:row r="28" ht="43.5" customHeight="1">
      <x:c r="A28" s="48"/>
      <x:c r="B28" s="17"/>
      <x:c r="C28" s="17"/>
      <x:c r="D28" s="17"/>
      <x:c r="E28" s="17"/>
      <x:c r="F28" s="17"/>
      <x:c r="G28" s="16" t="str">
        <x:f>IF(A28="","",A28+1)</x:f>
      </x:c>
      <x:c r="H28" s="16" t="str">
        <x:f>IF(A28="","",A28+4)</x:f>
      </x:c>
      <x:c r="I28" s="16" t="str">
        <x:f>IF(A28="","",A28+7)</x:f>
      </x:c>
      <x:c r="J28" s="48"/>
      <x:c r="K28" s="17"/>
      <x:c r="L28" s="17"/>
      <x:c r="M28" s="2"/>
      <x:c r="N28" s="2"/>
    </x:row>
    <x:row r="29" ht="43.5" customHeight="1">
      <x:c r="A29" s="48"/>
      <x:c r="B29" s="17"/>
      <x:c r="C29" s="17"/>
      <x:c r="D29" s="17"/>
      <x:c r="E29" s="17"/>
      <x:c r="F29" s="17"/>
      <x:c r="G29" s="16" t="str">
        <x:f>IF(A29="","",A29+1)</x:f>
      </x:c>
      <x:c r="H29" s="16" t="str">
        <x:f>IF(A29="","",A29+4)</x:f>
      </x:c>
      <x:c r="I29" s="16" t="str">
        <x:f>IF(A29="","",A29+7)</x:f>
      </x:c>
      <x:c r="J29" s="48"/>
      <x:c r="K29" s="17"/>
      <x:c r="L29" s="17"/>
      <x:c r="M29" s="2"/>
      <x:c r="N29" s="2"/>
    </x:row>
    <x:row r="30" ht="43.5" customHeight="1">
      <x:c r="A30" s="48"/>
      <x:c r="B30" s="17"/>
      <x:c r="C30" s="17"/>
      <x:c r="D30" s="17"/>
      <x:c r="E30" s="17"/>
      <x:c r="F30" s="17"/>
      <x:c r="G30" s="16" t="str">
        <x:f>IF(A30="","",A30+1)</x:f>
      </x:c>
      <x:c r="H30" s="16" t="str">
        <x:f>IF(A30="","",A30+4)</x:f>
      </x:c>
      <x:c r="I30" s="16" t="str">
        <x:f>IF(A30="","",A30+7)</x:f>
      </x:c>
      <x:c r="J30" s="48"/>
      <x:c r="K30" s="17"/>
      <x:c r="L30" s="17"/>
      <x:c r="M30" s="2"/>
      <x:c r="N30" s="2"/>
    </x:row>
    <x:row r="31" ht="43.5" customHeight="1">
      <x:c r="A31" s="48"/>
      <x:c r="B31" s="17"/>
      <x:c r="C31" s="17"/>
      <x:c r="D31" s="17"/>
      <x:c r="E31" s="17"/>
      <x:c r="F31" s="17"/>
      <x:c r="G31" s="16" t="str">
        <x:f>IF(A31="","",A31+1)</x:f>
      </x:c>
      <x:c r="H31" s="16" t="str">
        <x:f>IF(A31="","",A31+4)</x:f>
      </x:c>
      <x:c r="I31" s="16" t="str">
        <x:f>IF(A31="","",A31+7)</x:f>
      </x:c>
      <x:c r="J31" s="48"/>
      <x:c r="K31" s="17"/>
      <x:c r="L31" s="17"/>
      <x:c r="M31" s="2"/>
      <x:c r="N31" s="2"/>
    </x:row>
    <x:row r="32" ht="43.5" customHeight="1">
      <x:c r="A32" s="48"/>
      <x:c r="B32" s="17"/>
      <x:c r="C32" s="17"/>
      <x:c r="D32" s="17"/>
      <x:c r="E32" s="17"/>
      <x:c r="F32" s="17"/>
      <x:c r="G32" s="16" t="str">
        <x:f>IF(A32="","",A32+1)</x:f>
      </x:c>
      <x:c r="H32" s="16" t="str">
        <x:f>IF(A32="","",A32+4)</x:f>
      </x:c>
      <x:c r="I32" s="16" t="str">
        <x:f>IF(A32="","",A32+7)</x:f>
      </x:c>
      <x:c r="J32" s="48"/>
      <x:c r="K32" s="17"/>
      <x:c r="L32" s="17"/>
      <x:c r="M32" s="2"/>
      <x:c r="N32" s="2"/>
    </x:row>
    <x:row r="33" ht="43.5" customHeight="1">
      <x:c r="A33" s="48"/>
      <x:c r="B33" s="17"/>
      <x:c r="C33" s="17"/>
      <x:c r="D33" s="17"/>
      <x:c r="E33" s="17"/>
      <x:c r="F33" s="17"/>
      <x:c r="G33" s="16" t="str">
        <x:f>IF(A33="","",A33+1)</x:f>
      </x:c>
      <x:c r="H33" s="16" t="str">
        <x:f>IF(A33="","",A33+4)</x:f>
      </x:c>
      <x:c r="I33" s="16" t="str">
        <x:f>IF(A33="","",A33+7)</x:f>
      </x:c>
      <x:c r="J33" s="48"/>
      <x:c r="K33" s="17"/>
      <x:c r="L33" s="17"/>
      <x:c r="M33" s="2"/>
      <x:c r="N33" s="2"/>
    </x:row>
    <x:row r="34" ht="43.5" customHeight="1">
      <x:c r="A34" s="48"/>
      <x:c r="B34" s="17"/>
      <x:c r="C34" s="17"/>
      <x:c r="D34" s="17"/>
      <x:c r="E34" s="17"/>
      <x:c r="F34" s="17"/>
      <x:c r="G34" s="16" t="str">
        <x:f>IF(A34="","",A34+1)</x:f>
      </x:c>
      <x:c r="H34" s="16" t="str">
        <x:f>IF(A34="","",A34+4)</x:f>
      </x:c>
      <x:c r="I34" s="16" t="str">
        <x:f>IF(A34="","",A34+7)</x:f>
      </x:c>
      <x:c r="J34" s="48"/>
      <x:c r="K34" s="17"/>
      <x:c r="L34" s="17"/>
      <x:c r="M34" s="2"/>
      <x:c r="N34" s="2"/>
    </x:row>
    <x:row r="35" ht="43.5" customHeight="1">
      <x:c r="A35" s="48"/>
      <x:c r="B35" s="17"/>
      <x:c r="C35" s="17"/>
      <x:c r="D35" s="17"/>
      <x:c r="E35" s="17"/>
      <x:c r="F35" s="17"/>
      <x:c r="G35" s="16" t="str">
        <x:f>IF(A35="","",A35+1)</x:f>
      </x:c>
      <x:c r="H35" s="16" t="str">
        <x:f>IF(A35="","",A35+4)</x:f>
      </x:c>
      <x:c r="I35" s="16" t="str">
        <x:f>IF(A35="","",A35+7)</x:f>
      </x:c>
      <x:c r="J35" s="48"/>
      <x:c r="K35" s="17"/>
      <x:c r="L35" s="17"/>
      <x:c r="M35" s="2"/>
      <x:c r="N35" s="2"/>
    </x:row>
    <x:row r="36" ht="43.5" customHeight="1">
      <x:c r="A36" s="48"/>
      <x:c r="B36" s="17"/>
      <x:c r="C36" s="17"/>
      <x:c r="D36" s="17"/>
      <x:c r="E36" s="17"/>
      <x:c r="F36" s="17"/>
      <x:c r="G36" s="16" t="str">
        <x:f>IF(A36="","",A36+1)</x:f>
      </x:c>
      <x:c r="H36" s="16" t="str">
        <x:f>IF(A36="","",A36+4)</x:f>
      </x:c>
      <x:c r="I36" s="16" t="str">
        <x:f>IF(A36="","",A36+7)</x:f>
      </x:c>
      <x:c r="J36" s="48"/>
      <x:c r="K36" s="17"/>
      <x:c r="L36" s="17"/>
      <x:c r="M36" s="2"/>
      <x:c r="N36" s="2"/>
    </x:row>
    <x:row r="37" ht="43.5" customHeight="1">
      <x:c r="A37" s="48"/>
      <x:c r="B37" s="17"/>
      <x:c r="C37" s="17"/>
      <x:c r="D37" s="17"/>
      <x:c r="E37" s="17"/>
      <x:c r="F37" s="17"/>
      <x:c r="G37" s="16" t="str">
        <x:f>IF(A37="","",A37+1)</x:f>
      </x:c>
      <x:c r="H37" s="16" t="str">
        <x:f>IF(A37="","",A37+4)</x:f>
      </x:c>
      <x:c r="I37" s="16" t="str">
        <x:f>IF(A37="","",A37+7)</x:f>
      </x:c>
      <x:c r="J37" s="48"/>
      <x:c r="K37" s="17"/>
      <x:c r="L37" s="17"/>
      <x:c r="M37" s="2"/>
      <x:c r="N37" s="2"/>
    </x:row>
    <x:row r="38" ht="43.5" customHeight="1">
      <x:c r="A38" s="48"/>
      <x:c r="B38" s="17"/>
      <x:c r="C38" s="17"/>
      <x:c r="D38" s="17"/>
      <x:c r="E38" s="17"/>
      <x:c r="F38" s="17"/>
      <x:c r="G38" s="16" t="str">
        <x:f>IF(A38="","",A38+1)</x:f>
      </x:c>
      <x:c r="H38" s="16" t="str">
        <x:f>IF(A38="","",A38+4)</x:f>
      </x:c>
      <x:c r="I38" s="16" t="str">
        <x:f>IF(A38="","",A38+7)</x:f>
      </x:c>
      <x:c r="J38" s="48"/>
      <x:c r="K38" s="17"/>
      <x:c r="L38" s="17"/>
      <x:c r="M38" s="2"/>
      <x:c r="N38" s="2"/>
    </x:row>
    <x:row r="39" ht="43.5" customHeight="1">
      <x:c r="A39" s="48"/>
      <x:c r="B39" s="17"/>
      <x:c r="C39" s="17"/>
      <x:c r="D39" s="17"/>
      <x:c r="E39" s="17"/>
      <x:c r="F39" s="17"/>
      <x:c r="G39" s="16" t="str">
        <x:f>IF(A39="","",A39+1)</x:f>
      </x:c>
      <x:c r="H39" s="16" t="str">
        <x:f>IF(A39="","",A39+4)</x:f>
      </x:c>
      <x:c r="I39" s="16" t="str">
        <x:f>IF(A39="","",A39+7)</x:f>
      </x:c>
      <x:c r="J39" s="48"/>
      <x:c r="K39" s="17"/>
      <x:c r="L39" s="17"/>
      <x:c r="M39" s="2"/>
      <x:c r="N39" s="2"/>
    </x:row>
    <x:row r="40" ht="43.5" customHeight="1">
      <x:c r="A40" s="48"/>
      <x:c r="B40" s="17"/>
      <x:c r="C40" s="17"/>
      <x:c r="D40" s="17"/>
      <x:c r="E40" s="17"/>
      <x:c r="F40" s="17"/>
      <x:c r="G40" s="16" t="str">
        <x:f>IF(A40="","",A40+1)</x:f>
      </x:c>
      <x:c r="H40" s="16" t="str">
        <x:f>IF(A40="","",A40+4)</x:f>
      </x:c>
      <x:c r="I40" s="16" t="str">
        <x:f>IF(A40="","",A40+7)</x:f>
      </x:c>
      <x:c r="J40" s="48"/>
      <x:c r="K40" s="17"/>
      <x:c r="L40" s="17"/>
      <x:c r="M40" s="2"/>
      <x:c r="N40" s="2"/>
    </x:row>
    <x:row r="41" ht="43.5" customHeight="1">
      <x:c r="A41" s="48"/>
      <x:c r="B41" s="17"/>
      <x:c r="C41" s="17"/>
      <x:c r="D41" s="17"/>
      <x:c r="E41" s="17"/>
      <x:c r="F41" s="17"/>
      <x:c r="G41" s="16" t="str">
        <x:f>IF(A41="","",A41+1)</x:f>
      </x:c>
      <x:c r="H41" s="16" t="str">
        <x:f>IF(A41="","",A41+4)</x:f>
      </x:c>
      <x:c r="I41" s="16" t="str">
        <x:f>IF(A41="","",A41+7)</x:f>
      </x:c>
      <x:c r="J41" s="48"/>
      <x:c r="K41" s="17"/>
      <x:c r="L41" s="17"/>
      <x:c r="M41" s="2"/>
      <x:c r="N41" s="2"/>
    </x:row>
    <x:row r="42" ht="43.5" customHeight="1">
      <x:c r="A42" s="48"/>
      <x:c r="B42" s="17"/>
      <x:c r="C42" s="17"/>
      <x:c r="D42" s="17"/>
      <x:c r="E42" s="17"/>
      <x:c r="F42" s="17"/>
      <x:c r="G42" s="16" t="str">
        <x:f>IF(A42="","",A42+1)</x:f>
      </x:c>
      <x:c r="H42" s="16" t="str">
        <x:f>IF(A42="","",A42+4)</x:f>
      </x:c>
      <x:c r="I42" s="16" t="str">
        <x:f>IF(A42="","",A42+7)</x:f>
      </x:c>
      <x:c r="J42" s="48"/>
      <x:c r="K42" s="17"/>
      <x:c r="L42" s="17"/>
      <x:c r="M42" s="2"/>
      <x:c r="N42" s="2"/>
    </x:row>
    <x:row r="43" ht="43.5" customHeight="1">
      <x:c r="A43" s="48"/>
      <x:c r="B43" s="17"/>
      <x:c r="C43" s="17"/>
      <x:c r="D43" s="17"/>
      <x:c r="E43" s="17"/>
      <x:c r="F43" s="17"/>
      <x:c r="G43" s="16" t="str">
        <x:f>IF(A43="","",A43+1)</x:f>
      </x:c>
      <x:c r="H43" s="16" t="str">
        <x:f>IF(A43="","",A43+4)</x:f>
      </x:c>
      <x:c r="I43" s="16" t="str">
        <x:f>IF(A43="","",A43+7)</x:f>
      </x:c>
      <x:c r="J43" s="48"/>
      <x:c r="K43" s="17"/>
      <x:c r="L43" s="17"/>
      <x:c r="M43" s="2"/>
      <x:c r="N43" s="2"/>
    </x:row>
    <x:row r="44" ht="43.5" customHeight="1">
      <x:c r="A44" s="48"/>
      <x:c r="B44" s="17"/>
      <x:c r="C44" s="17"/>
      <x:c r="D44" s="17"/>
      <x:c r="E44" s="17"/>
      <x:c r="F44" s="17"/>
      <x:c r="G44" s="16" t="str">
        <x:f>IF(A44="","",A44+1)</x:f>
      </x:c>
      <x:c r="H44" s="16" t="str">
        <x:f>IF(A44="","",A44+4)</x:f>
      </x:c>
      <x:c r="I44" s="16" t="str">
        <x:f>IF(A44="","",A44+7)</x:f>
      </x:c>
      <x:c r="J44" s="48"/>
      <x:c r="K44" s="17"/>
      <x:c r="L44" s="17"/>
      <x:c r="M44" s="2"/>
      <x:c r="N44" s="2"/>
    </x:row>
    <x:row r="45" ht="43.5" customHeight="1">
      <x:c r="A45" s="48"/>
      <x:c r="B45" s="17"/>
      <x:c r="C45" s="17"/>
      <x:c r="D45" s="17"/>
      <x:c r="E45" s="17"/>
      <x:c r="F45" s="17"/>
      <x:c r="G45" s="16" t="str">
        <x:f>IF(A45="","",A45+1)</x:f>
      </x:c>
      <x:c r="H45" s="16" t="str">
        <x:f>IF(A45="","",A45+4)</x:f>
      </x:c>
      <x:c r="I45" s="16" t="str">
        <x:f>IF(A45="","",A45+7)</x:f>
      </x:c>
      <x:c r="J45" s="48"/>
      <x:c r="K45" s="17"/>
      <x:c r="L45" s="17"/>
      <x:c r="M45" s="2"/>
      <x:c r="N45" s="2"/>
    </x:row>
    <x:row r="46" ht="43.5" customHeight="1">
      <x:c r="A46" s="48"/>
      <x:c r="B46" s="17"/>
      <x:c r="C46" s="17"/>
      <x:c r="D46" s="17"/>
      <x:c r="E46" s="17"/>
      <x:c r="F46" s="17"/>
      <x:c r="G46" s="16" t="str">
        <x:f>IF(A46="","",A46+1)</x:f>
      </x:c>
      <x:c r="H46" s="16" t="str">
        <x:f>IF(A46="","",A46+4)</x:f>
      </x:c>
      <x:c r="I46" s="16" t="str">
        <x:f>IF(A46="","",A46+7)</x:f>
      </x:c>
      <x:c r="J46" s="48"/>
      <x:c r="K46" s="17"/>
      <x:c r="L46" s="17"/>
      <x:c r="M46" s="2"/>
      <x:c r="N46" s="2"/>
    </x:row>
    <x:row r="47" ht="43.5" customHeight="1">
      <x:c r="A47" s="48"/>
      <x:c r="B47" s="17"/>
      <x:c r="C47" s="17"/>
      <x:c r="D47" s="17"/>
      <x:c r="E47" s="17"/>
      <x:c r="F47" s="17"/>
      <x:c r="G47" s="16" t="str">
        <x:f>IF(A47="","",A47+1)</x:f>
      </x:c>
      <x:c r="H47" s="16" t="str">
        <x:f>IF(A47="","",A47+4)</x:f>
      </x:c>
      <x:c r="I47" s="16" t="str">
        <x:f>IF(A47="","",A47+7)</x:f>
      </x:c>
      <x:c r="J47" s="48"/>
      <x:c r="K47" s="17"/>
      <x:c r="L47" s="17"/>
      <x:c r="M47" s="2"/>
      <x:c r="N47" s="2"/>
    </x:row>
    <x:row r="48" ht="43.5" customHeight="1">
      <x:c r="A48" s="48"/>
      <x:c r="B48" s="17"/>
      <x:c r="C48" s="17"/>
      <x:c r="D48" s="17"/>
      <x:c r="E48" s="17"/>
      <x:c r="F48" s="17"/>
      <x:c r="G48" s="16" t="str">
        <x:f>IF(A48="","",A48+1)</x:f>
      </x:c>
      <x:c r="H48" s="16" t="str">
        <x:f>IF(A48="","",A48+4)</x:f>
      </x:c>
      <x:c r="I48" s="16" t="str">
        <x:f>IF(A48="","",A48+7)</x:f>
      </x:c>
      <x:c r="J48" s="48"/>
      <x:c r="K48" s="17"/>
      <x:c r="L48" s="17"/>
      <x:c r="M48" s="2"/>
      <x:c r="N48" s="2"/>
    </x:row>
    <x:row r="49" ht="43.5" customHeight="1">
      <x:c r="A49" s="48"/>
      <x:c r="B49" s="17"/>
      <x:c r="C49" s="17"/>
      <x:c r="D49" s="17"/>
      <x:c r="E49" s="17"/>
      <x:c r="F49" s="17"/>
      <x:c r="G49" s="16" t="str">
        <x:f>IF(A49="","",A49+1)</x:f>
      </x:c>
      <x:c r="H49" s="16" t="str">
        <x:f>IF(A49="","",A49+4)</x:f>
      </x:c>
      <x:c r="I49" s="16" t="str">
        <x:f>IF(A49="","",A49+7)</x:f>
      </x:c>
      <x:c r="J49" s="48"/>
      <x:c r="K49" s="17"/>
      <x:c r="L49" s="17"/>
      <x:c r="M49" s="2"/>
      <x:c r="N49" s="2"/>
    </x:row>
    <x:row r="50" ht="43.5" customHeight="1">
      <x:c r="A50" s="48"/>
      <x:c r="B50" s="17"/>
      <x:c r="C50" s="17"/>
      <x:c r="D50" s="17"/>
      <x:c r="E50" s="17"/>
      <x:c r="F50" s="17"/>
      <x:c r="G50" s="16" t="str">
        <x:f>IF(A50="","",A50+1)</x:f>
      </x:c>
      <x:c r="H50" s="16" t="str">
        <x:f>IF(A50="","",A50+4)</x:f>
      </x:c>
      <x:c r="I50" s="16" t="str">
        <x:f>IF(A50="","",A50+7)</x:f>
      </x:c>
      <x:c r="J50" s="48"/>
      <x:c r="K50" s="17"/>
      <x:c r="L50" s="17"/>
      <x:c r="M50" s="2"/>
      <x:c r="N50" s="2"/>
    </x:row>
    <x:row r="51" ht="43.5" customHeight="1">
      <x:c r="A51" s="48"/>
      <x:c r="B51" s="17"/>
      <x:c r="C51" s="17"/>
      <x:c r="D51" s="17"/>
      <x:c r="E51" s="17"/>
      <x:c r="F51" s="17"/>
      <x:c r="G51" s="16" t="str">
        <x:f>IF(A51="","",A51+1)</x:f>
      </x:c>
      <x:c r="H51" s="16" t="str">
        <x:f>IF(A51="","",A51+4)</x:f>
      </x:c>
      <x:c r="I51" s="16" t="str">
        <x:f>IF(A51="","",A51+7)</x:f>
      </x:c>
      <x:c r="J51" s="48"/>
      <x:c r="K51" s="17"/>
      <x:c r="L51" s="17"/>
      <x:c r="M51" s="2"/>
      <x:c r="N51" s="2"/>
    </x:row>
    <x:row r="52" ht="43.5" customHeight="1">
      <x:c r="A52" s="48"/>
      <x:c r="B52" s="17"/>
      <x:c r="C52" s="17"/>
      <x:c r="D52" s="17"/>
      <x:c r="E52" s="17"/>
      <x:c r="F52" s="17"/>
      <x:c r="G52" s="16" t="str">
        <x:f>IF(A52="","",A52+1)</x:f>
      </x:c>
      <x:c r="H52" s="16" t="str">
        <x:f>IF(A52="","",A52+4)</x:f>
      </x:c>
      <x:c r="I52" s="16" t="str">
        <x:f>IF(A52="","",A52+7)</x:f>
      </x:c>
      <x:c r="J52" s="48"/>
      <x:c r="K52" s="17"/>
      <x:c r="L52" s="17"/>
      <x:c r="M52" s="2"/>
      <x:c r="N52" s="2"/>
    </x:row>
    <x:row r="53" ht="43.5" customHeight="1">
      <x:c r="A53" s="48"/>
      <x:c r="B53" s="17"/>
      <x:c r="C53" s="17"/>
      <x:c r="D53" s="17"/>
      <x:c r="E53" s="17"/>
      <x:c r="F53" s="17"/>
      <x:c r="G53" s="16" t="str">
        <x:f>IF(A53="","",A53+1)</x:f>
      </x:c>
      <x:c r="H53" s="16" t="str">
        <x:f>IF(A53="","",A53+4)</x:f>
      </x:c>
      <x:c r="I53" s="16" t="str">
        <x:f>IF(A53="","",A53+7)</x:f>
      </x:c>
      <x:c r="J53" s="48"/>
      <x:c r="K53" s="17"/>
      <x:c r="L53" s="17"/>
      <x:c r="M53" s="2"/>
      <x:c r="N53" s="2"/>
    </x:row>
    <x:row r="54" ht="43.5" customHeight="1">
      <x:c r="A54" s="48"/>
      <x:c r="B54" s="17"/>
      <x:c r="C54" s="17"/>
      <x:c r="D54" s="17"/>
      <x:c r="E54" s="17"/>
      <x:c r="F54" s="17"/>
      <x:c r="G54" s="16" t="str">
        <x:f>IF(A54="","",A54+1)</x:f>
      </x:c>
      <x:c r="H54" s="16" t="str">
        <x:f>IF(A54="","",A54+4)</x:f>
      </x:c>
      <x:c r="I54" s="16" t="str">
        <x:f>IF(A54="","",A54+7)</x:f>
      </x:c>
      <x:c r="J54" s="48"/>
      <x:c r="K54" s="17"/>
      <x:c r="L54" s="17"/>
      <x:c r="M54" s="2"/>
      <x:c r="N54" s="2"/>
    </x:row>
    <x:row r="55" ht="43.5" customHeight="1">
      <x:c r="A55" s="48"/>
      <x:c r="B55" s="17"/>
      <x:c r="C55" s="17"/>
      <x:c r="D55" s="17"/>
      <x:c r="E55" s="17"/>
      <x:c r="F55" s="17"/>
      <x:c r="G55" s="16" t="str">
        <x:f>IF(A55="","",A55+1)</x:f>
      </x:c>
      <x:c r="H55" s="16" t="str">
        <x:f>IF(A55="","",A55+4)</x:f>
      </x:c>
      <x:c r="I55" s="16" t="str">
        <x:f>IF(A55="","",A55+7)</x:f>
      </x:c>
      <x:c r="J55" s="48"/>
      <x:c r="K55" s="17"/>
      <x:c r="L55" s="17"/>
      <x:c r="M55" s="2"/>
      <x:c r="N55" s="2"/>
    </x:row>
    <x:row r="56" ht="43.5" customHeight="1">
      <x:c r="A56" s="48"/>
      <x:c r="B56" s="17"/>
      <x:c r="C56" s="17"/>
      <x:c r="D56" s="17"/>
      <x:c r="E56" s="17"/>
      <x:c r="F56" s="17"/>
      <x:c r="G56" s="16" t="str">
        <x:f>IF(A56="","",A56+1)</x:f>
      </x:c>
      <x:c r="H56" s="16" t="str">
        <x:f>IF(A56="","",A56+4)</x:f>
      </x:c>
      <x:c r="I56" s="16" t="str">
        <x:f>IF(A56="","",A56+7)</x:f>
      </x:c>
      <x:c r="J56" s="48"/>
      <x:c r="K56" s="17"/>
      <x:c r="L56" s="17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F7:F56">
    <x:cfRule type="cellIs" dxfId="3" priority="1" operator="equal">
      <x:formula>"红"</x:formula>
    </x:cfRule>
    <x:cfRule type="cellIs" dxfId="4" priority="2" operator="equal">
      <x:formula>"黄"</x:formula>
    </x:cfRule>
    <x:cfRule type="cellIs" dxfId="5" priority="3" operator="equal">
      <x:formula>"绿"</x:formula>
    </x:cfRule>
  </x:conditionalFormatting>
  <x:dataValidations count="3">
    <x:dataValidation type="list" sqref="B7:B56">
      <x:formula1>"微观,宏观,政经"</x:formula1>
    </x:dataValidation>
    <x:dataValidation type="list" sqref="F7:F56">
      <x:formula1>"红,黄,绿"</x:formula1>
    </x:dataValidation>
    <x:dataValidation type="list" sqref="K7:K56">
      <x:formula1>"未通过,已通过,待复做"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a791bc63a442c7"/>
  </x:tableParts>
</x:worksheet>
</file>